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Editions" sheetId="2" state="visible" r:id="rId2"/>
    <sheet xmlns:r="http://schemas.openxmlformats.org/officeDocument/2006/relationships" name="Depenses" sheetId="3" state="visible" r:id="rId3"/>
    <sheet xmlns:r="http://schemas.openxmlformats.org/officeDocument/2006/relationships" name="Participants" sheetId="4" state="visible" r:id="rId4"/>
    <sheet xmlns:r="http://schemas.openxmlformats.org/officeDocument/2006/relationships" name="Jour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 &quot;€&quot;"/>
    <numFmt numFmtId="166" formatCode="#,##0.00 &quot;€&quot;;[Red]-#,##0.00 &quot;€&quot;"/>
  </numFmts>
  <fonts count="3">
    <font>
      <name val="Calibri"/>
      <family val="2"/>
      <color theme="1"/>
      <sz val="11"/>
      <scheme val="minor"/>
    </font>
    <font>
      <b val="1"/>
      <color rgb="00012F6B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12F6B"/>
      </patternFill>
    </fill>
    <fill>
      <patternFill patternType="solid">
        <fgColor rgb="008A6D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0" applyAlignment="1" pivotButton="0" quotePrefix="0" xfId="0">
      <alignment vertical="center" wrapText="1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ANCIENS DE LOUIS · Comptes (classeur de référence)</t>
        </is>
      </c>
    </row>
    <row r="3">
      <c r="A3" t="inlineStr">
        <is>
          <t>Ce classeur est la source des comptes du site. Le site lit ces onglets en direct et y écrit quand on ajoute une dépense.</t>
        </is>
      </c>
    </row>
    <row r="5">
      <c r="A5" t="inlineStr">
        <is>
          <t>Editions : une ligne par séjour (id, année, lieu). Ajoutez une ligne pour créer une nouvelle année sur le site.</t>
        </is>
      </c>
    </row>
    <row r="6">
      <c r="A6" t="inlineStr">
        <is>
          <t>Depenses : une ligne par dépense. Les trajets sont des dépenses de catégorie Transport, payées par la personne qui a roulé.</t>
        </is>
      </c>
    </row>
    <row r="7">
      <c r="A7" t="inlineStr">
        <is>
          <t>Participants : une ligne par personne et par séjour (cotisations versées, participe = 1 ou 0). Les colonnes F à J sont calculées.</t>
        </is>
      </c>
    </row>
    <row r="8">
      <c r="A8" t="inlineStr">
        <is>
          <t>Journal : trace automatique de chaque ajout, suppression ou changement fait depuis le site.</t>
        </is>
      </c>
    </row>
    <row r="10">
      <c r="A10" t="inlineStr">
        <is>
          <t>Règle de calcul : solde = versé + dépenses avancées − (coût total ÷ nombre de participants). Le « Compte des Anciens » ne crée aucun remboursement.</t>
        </is>
      </c>
    </row>
    <row r="11">
      <c r="A11" t="inlineStr">
        <is>
          <t>Solde positif : la personne reçoit de l’argent. Solde négatif : elle doit en verser.</t>
        </is>
      </c>
    </row>
    <row r="13">
      <c r="A13" t="inlineStr">
        <is>
          <t>Pour une copie Excel : Fichier &gt; Télécharger &gt; Microsoft Excel (.xlsx).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</cols>
  <sheetData>
    <row r="1" ht="30" customHeight="1">
      <c r="A1" s="2" t="inlineStr">
        <is>
          <t>id</t>
        </is>
      </c>
      <c r="B1" s="2" t="inlineStr">
        <is>
          <t>annee</t>
        </is>
      </c>
      <c r="C1" s="2" t="inlineStr">
        <is>
          <t>lieu</t>
        </is>
      </c>
    </row>
    <row r="2">
      <c r="A2" t="inlineStr">
        <is>
          <t>2026-clermont-ferrand</t>
        </is>
      </c>
      <c r="B2" t="n">
        <v>2026</v>
      </c>
      <c r="C2" t="inlineStr">
        <is>
          <t>Clermont-Ferrand</t>
        </is>
      </c>
    </row>
    <row r="3">
      <c r="A3" t="inlineStr">
        <is>
          <t>2027</t>
        </is>
      </c>
      <c r="B3" t="n">
        <v>2027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50" customWidth="1" min="4" max="4"/>
    <col width="12" customWidth="1" min="5" max="5"/>
    <col width="20" customWidth="1" min="6" max="6"/>
    <col width="18" customWidth="1" style="7" min="7" max="7"/>
  </cols>
  <sheetData>
    <row r="1" ht="30" customHeight="1">
      <c r="A1" s="2" t="inlineStr">
        <is>
          <t>id</t>
        </is>
      </c>
      <c r="B1" s="2" t="inlineStr">
        <is>
          <t>edition</t>
        </is>
      </c>
      <c r="C1" s="2" t="inlineStr">
        <is>
          <t>categorie</t>
        </is>
      </c>
      <c r="D1" s="2" t="inlineStr">
        <is>
          <t>libelle</t>
        </is>
      </c>
      <c r="E1" s="2" t="inlineStr">
        <is>
          <t>montant</t>
        </is>
      </c>
      <c r="F1" s="2" t="inlineStr">
        <is>
          <t>paye_par</t>
        </is>
      </c>
      <c r="G1" s="2" t="inlineStr">
        <is>
          <t>date_ajout</t>
        </is>
      </c>
    </row>
    <row r="2">
      <c r="A2" t="inlineStr">
        <is>
          <t>s001</t>
        </is>
      </c>
      <c r="B2" t="inlineStr">
        <is>
          <t>2026-clermont-ferrand</t>
        </is>
      </c>
      <c r="C2" t="inlineStr">
        <is>
          <t>Transport</t>
        </is>
      </c>
      <c r="D2" t="inlineStr">
        <is>
          <t>Trajet · Olive (Péage direction Clermont)</t>
        </is>
      </c>
      <c r="E2" s="8" t="n">
        <v>64</v>
      </c>
      <c r="F2" t="inlineStr">
        <is>
          <t>Olive</t>
        </is>
      </c>
    </row>
    <row r="3">
      <c r="A3" t="inlineStr">
        <is>
          <t>s002</t>
        </is>
      </c>
      <c r="B3" t="inlineStr">
        <is>
          <t>2026-clermont-ferrand</t>
        </is>
      </c>
      <c r="C3" t="inlineStr">
        <is>
          <t>Transport</t>
        </is>
      </c>
      <c r="D3" t="inlineStr">
        <is>
          <t>Trajet · Fred</t>
        </is>
      </c>
      <c r="E3" s="8" t="n">
        <v>266</v>
      </c>
      <c r="F3" t="inlineStr">
        <is>
          <t>Fred</t>
        </is>
      </c>
    </row>
    <row r="4">
      <c r="A4" t="inlineStr">
        <is>
          <t>s003</t>
        </is>
      </c>
      <c r="B4" t="inlineStr">
        <is>
          <t>2026-clermont-ferrand</t>
        </is>
      </c>
      <c r="C4" t="inlineStr">
        <is>
          <t>Transport</t>
        </is>
      </c>
      <c r="D4" t="inlineStr">
        <is>
          <t>Trajet · Christophe (voiture A/R)</t>
        </is>
      </c>
      <c r="E4" s="8" t="n">
        <v>350</v>
      </c>
      <c r="F4" t="inlineStr">
        <is>
          <t>Christophe</t>
        </is>
      </c>
    </row>
    <row r="5">
      <c r="A5" t="inlineStr">
        <is>
          <t>s004</t>
        </is>
      </c>
      <c r="B5" t="inlineStr">
        <is>
          <t>2026-clermont-ferrand</t>
        </is>
      </c>
      <c r="C5" t="inlineStr">
        <is>
          <t>Transport</t>
        </is>
      </c>
      <c r="D5" t="inlineStr">
        <is>
          <t>Trajet · JC</t>
        </is>
      </c>
      <c r="E5" s="8" t="n">
        <v>164</v>
      </c>
      <c r="F5" t="inlineStr">
        <is>
          <t>JC</t>
        </is>
      </c>
    </row>
    <row r="6">
      <c r="A6" t="inlineStr">
        <is>
          <t>s005</t>
        </is>
      </c>
      <c r="B6" t="inlineStr">
        <is>
          <t>2026-clermont-ferrand</t>
        </is>
      </c>
      <c r="C6" t="inlineStr">
        <is>
          <t>Nourriture</t>
        </is>
      </c>
      <c r="D6" t="inlineStr">
        <is>
          <t>Bières</t>
        </is>
      </c>
      <c r="E6" s="8" t="n">
        <v>46</v>
      </c>
      <c r="F6" t="inlineStr">
        <is>
          <t>OMR</t>
        </is>
      </c>
    </row>
    <row r="7">
      <c r="A7" t="inlineStr">
        <is>
          <t>s006</t>
        </is>
      </c>
      <c r="B7" t="inlineStr">
        <is>
          <t>2026-clermont-ferrand</t>
        </is>
      </c>
      <c r="C7" t="inlineStr">
        <is>
          <t>Nourriture</t>
        </is>
      </c>
      <c r="D7" t="inlineStr">
        <is>
          <t>Courses Inter</t>
        </is>
      </c>
      <c r="E7" s="8" t="n">
        <v>15.9</v>
      </c>
      <c r="F7" t="inlineStr">
        <is>
          <t>Maxens</t>
        </is>
      </c>
    </row>
    <row r="8">
      <c r="A8" t="inlineStr">
        <is>
          <t>s007</t>
        </is>
      </c>
      <c r="B8" t="inlineStr">
        <is>
          <t>2026-clermont-ferrand</t>
        </is>
      </c>
      <c r="C8" t="inlineStr">
        <is>
          <t>Nourriture</t>
        </is>
      </c>
      <c r="D8" t="inlineStr">
        <is>
          <t>Vin 1</t>
        </is>
      </c>
      <c r="E8" s="8" t="n">
        <v>167</v>
      </c>
      <c r="F8" t="inlineStr">
        <is>
          <t>Maxens</t>
        </is>
      </c>
    </row>
    <row r="9">
      <c r="A9" t="inlineStr">
        <is>
          <t>s008</t>
        </is>
      </c>
      <c r="B9" t="inlineStr">
        <is>
          <t>2026-clermont-ferrand</t>
        </is>
      </c>
      <c r="C9" t="inlineStr">
        <is>
          <t>Nourriture</t>
        </is>
      </c>
      <c r="D9" t="inlineStr">
        <is>
          <t>Vin 2</t>
        </is>
      </c>
      <c r="E9" s="8" t="n">
        <v>62.8</v>
      </c>
      <c r="F9" t="inlineStr">
        <is>
          <t>Maxens</t>
        </is>
      </c>
    </row>
    <row r="10">
      <c r="A10" t="inlineStr">
        <is>
          <t>s009</t>
        </is>
      </c>
      <c r="B10" t="inlineStr">
        <is>
          <t>2026-clermont-ferrand</t>
        </is>
      </c>
      <c r="C10" t="inlineStr">
        <is>
          <t>Nourriture</t>
        </is>
      </c>
      <c r="D10" t="inlineStr">
        <is>
          <t>Courses Inter</t>
        </is>
      </c>
      <c r="E10" s="8" t="n">
        <v>65.09</v>
      </c>
      <c r="F10" t="inlineStr">
        <is>
          <t>Maxens</t>
        </is>
      </c>
    </row>
    <row r="11">
      <c r="A11" t="inlineStr">
        <is>
          <t>s010</t>
        </is>
      </c>
      <c r="B11" t="inlineStr">
        <is>
          <t>2026-clermont-ferrand</t>
        </is>
      </c>
      <c r="C11" t="inlineStr">
        <is>
          <t>Nourriture</t>
        </is>
      </c>
      <c r="D11" t="inlineStr">
        <is>
          <t>Courses Auchan</t>
        </is>
      </c>
      <c r="E11" s="8" t="n">
        <v>55</v>
      </c>
      <c r="F11" t="inlineStr">
        <is>
          <t>Maxens</t>
        </is>
      </c>
    </row>
    <row r="12">
      <c r="A12" t="inlineStr">
        <is>
          <t>s011</t>
        </is>
      </c>
      <c r="B12" t="inlineStr">
        <is>
          <t>2026-clermont-ferrand</t>
        </is>
      </c>
      <c r="C12" t="inlineStr">
        <is>
          <t>Nourriture</t>
        </is>
      </c>
      <c r="D12" t="inlineStr">
        <is>
          <t>Courses Leclerc</t>
        </is>
      </c>
      <c r="E12" s="8" t="n">
        <v>139.15</v>
      </c>
      <c r="F12" t="inlineStr">
        <is>
          <t>Maxens</t>
        </is>
      </c>
    </row>
    <row r="13">
      <c r="A13" t="inlineStr">
        <is>
          <t>s012</t>
        </is>
      </c>
      <c r="B13" t="inlineStr">
        <is>
          <t>2026-clermont-ferrand</t>
        </is>
      </c>
      <c r="C13" t="inlineStr">
        <is>
          <t>Nourriture</t>
        </is>
      </c>
      <c r="D13" t="inlineStr">
        <is>
          <t>Fromage</t>
        </is>
      </c>
      <c r="E13" s="8" t="n">
        <v>127</v>
      </c>
      <c r="F13" t="inlineStr">
        <is>
          <t>Maxens</t>
        </is>
      </c>
    </row>
    <row r="14">
      <c r="A14" t="inlineStr">
        <is>
          <t>s013</t>
        </is>
      </c>
      <c r="B14" t="inlineStr">
        <is>
          <t>2026-clermont-ferrand</t>
        </is>
      </c>
      <c r="C14" t="inlineStr">
        <is>
          <t>Nourriture</t>
        </is>
      </c>
      <c r="D14" t="inlineStr">
        <is>
          <t>Viande</t>
        </is>
      </c>
      <c r="E14" s="8" t="n">
        <v>160</v>
      </c>
      <c r="F14" t="inlineStr">
        <is>
          <t>Maxens</t>
        </is>
      </c>
    </row>
    <row r="15">
      <c r="A15" t="inlineStr">
        <is>
          <t>s014</t>
        </is>
      </c>
      <c r="B15" t="inlineStr">
        <is>
          <t>2026-clermont-ferrand</t>
        </is>
      </c>
      <c r="C15" t="inlineStr">
        <is>
          <t>Nourriture</t>
        </is>
      </c>
      <c r="D15" t="inlineStr">
        <is>
          <t>Pain</t>
        </is>
      </c>
      <c r="E15" s="8" t="n">
        <v>35</v>
      </c>
      <c r="F15" t="inlineStr">
        <is>
          <t>Christophe</t>
        </is>
      </c>
    </row>
    <row r="16">
      <c r="A16" t="inlineStr">
        <is>
          <t>s015</t>
        </is>
      </c>
      <c r="B16" t="inlineStr">
        <is>
          <t>2026-clermont-ferrand</t>
        </is>
      </c>
      <c r="C16" t="inlineStr">
        <is>
          <t>Activités</t>
        </is>
      </c>
      <c r="D16" t="inlineStr">
        <is>
          <t>Loc VTT</t>
        </is>
      </c>
      <c r="E16" s="8" t="n">
        <v>135</v>
      </c>
      <c r="F16" t="inlineStr">
        <is>
          <t>Alex</t>
        </is>
      </c>
    </row>
    <row r="17">
      <c r="A17" t="inlineStr">
        <is>
          <t>s016</t>
        </is>
      </c>
      <c r="B17" t="inlineStr">
        <is>
          <t>2026-clermont-ferrand</t>
        </is>
      </c>
      <c r="C17" t="inlineStr">
        <is>
          <t>Activités</t>
        </is>
      </c>
      <c r="D17" t="inlineStr">
        <is>
          <t>Aventure Michelin</t>
        </is>
      </c>
      <c r="E17" s="8" t="n">
        <v>90</v>
      </c>
      <c r="F17" t="inlineStr">
        <is>
          <t>Olive</t>
        </is>
      </c>
    </row>
    <row r="18">
      <c r="A18" t="inlineStr">
        <is>
          <t>s017</t>
        </is>
      </c>
      <c r="B18" t="inlineStr">
        <is>
          <t>2026-clermont-ferrand</t>
        </is>
      </c>
      <c r="C18" t="inlineStr">
        <is>
          <t>Activités</t>
        </is>
      </c>
      <c r="D18" t="inlineStr">
        <is>
          <t>Boissons à Besse</t>
        </is>
      </c>
      <c r="E18" s="8" t="n">
        <v>34</v>
      </c>
      <c r="F18" t="inlineStr">
        <is>
          <t>Olive</t>
        </is>
      </c>
    </row>
    <row r="19">
      <c r="A19" t="inlineStr">
        <is>
          <t>s018</t>
        </is>
      </c>
      <c r="B19" t="inlineStr">
        <is>
          <t>2026-clermont-ferrand</t>
        </is>
      </c>
      <c r="C19" t="inlineStr">
        <is>
          <t>Nourriture</t>
        </is>
      </c>
      <c r="D19" t="inlineStr">
        <is>
          <t>Apéro samedi soir les Halles</t>
        </is>
      </c>
      <c r="E19" s="8" t="n">
        <v>71</v>
      </c>
      <c r="F19" t="inlineStr">
        <is>
          <t>Alex</t>
        </is>
      </c>
    </row>
    <row r="20">
      <c r="A20" t="inlineStr">
        <is>
          <t>s019</t>
        </is>
      </c>
      <c r="B20" t="inlineStr">
        <is>
          <t>2026-clermont-ferrand</t>
        </is>
      </c>
      <c r="C20" t="inlineStr">
        <is>
          <t>Activités</t>
        </is>
      </c>
      <c r="D20" t="inlineStr">
        <is>
          <t>Royatonic</t>
        </is>
      </c>
      <c r="E20" s="8" t="n">
        <v>154</v>
      </c>
      <c r="F20" t="inlineStr">
        <is>
          <t>Maxens</t>
        </is>
      </c>
    </row>
    <row r="21">
      <c r="A21" t="inlineStr">
        <is>
          <t>s020</t>
        </is>
      </c>
      <c r="B21" t="inlineStr">
        <is>
          <t>2026-clermont-ferrand</t>
        </is>
      </c>
      <c r="C21" t="inlineStr">
        <is>
          <t>Nourriture</t>
        </is>
      </c>
      <c r="D21" t="inlineStr">
        <is>
          <t>Apéro Clermont</t>
        </is>
      </c>
      <c r="E21" s="8" t="n">
        <v>39</v>
      </c>
      <c r="F21" t="inlineStr">
        <is>
          <t>Maxens</t>
        </is>
      </c>
    </row>
    <row r="22">
      <c r="A22" t="inlineStr">
        <is>
          <t>s021</t>
        </is>
      </c>
      <c r="B22" t="inlineStr">
        <is>
          <t>2026-clermont-ferrand</t>
        </is>
      </c>
      <c r="C22" t="inlineStr">
        <is>
          <t>Nourriture</t>
        </is>
      </c>
      <c r="D22" t="inlineStr">
        <is>
          <t>Pain</t>
        </is>
      </c>
      <c r="E22" s="8" t="n">
        <v>11.2</v>
      </c>
      <c r="F22" t="inlineStr">
        <is>
          <t>Christophe</t>
        </is>
      </c>
    </row>
  </sheetData>
  <dataValidations count="1">
    <dataValidation sqref="C2:C2000" showDropDown="0" showInputMessage="0" showErrorMessage="0" allowBlank="1" type="list">
      <formula1>"Nourriture,Transport,Activités,Location"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1" customWidth="1" min="4" max="4"/>
    <col width="34" customWidth="1" min="5" max="5"/>
    <col width="12" customWidth="1" min="6" max="6"/>
    <col width="12" customWidth="1" min="7" max="7"/>
    <col width="15" customWidth="1" min="8" max="8"/>
    <col width="12" customWidth="1" min="9" max="9"/>
    <col width="14" customWidth="1" min="10" max="10"/>
    <col width="14" customWidth="1" min="11" max="11"/>
    <col width="16" customWidth="1" min="12" max="12"/>
  </cols>
  <sheetData>
    <row r="1" ht="30" customHeight="1">
      <c r="A1" s="2" t="inlineStr">
        <is>
          <t>edition</t>
        </is>
      </c>
      <c r="B1" s="2" t="inlineStr">
        <is>
          <t>nom</t>
        </is>
      </c>
      <c r="C1" s="2" t="inlineStr">
        <is>
          <t>verse</t>
        </is>
      </c>
      <c r="D1" s="2" t="inlineStr">
        <is>
          <t>participe</t>
        </is>
      </c>
      <c r="E1" s="2" t="inlineStr">
        <is>
          <t>detail</t>
        </is>
      </c>
      <c r="F1" s="5" t="inlineStr">
        <is>
          <t>avance</t>
        </is>
      </c>
      <c r="G1" s="5" t="inlineStr">
        <is>
          <t>cout_total</t>
        </is>
      </c>
      <c r="H1" s="5" t="inlineStr">
        <is>
          <t>nb_participants</t>
        </is>
      </c>
      <c r="I1" s="5" t="inlineStr">
        <is>
          <t>part</t>
        </is>
      </c>
      <c r="J1" s="5" t="inlineStr">
        <is>
          <t>solde</t>
        </is>
      </c>
      <c r="K1" s="2" t="inlineStr">
        <is>
          <t>regle_le</t>
        </is>
      </c>
      <c r="L1" s="2" t="inlineStr">
        <is>
          <t>regle_montant</t>
        </is>
      </c>
    </row>
    <row r="2">
      <c r="A2" t="inlineStr">
        <is>
          <t>2026-clermont-ferrand</t>
        </is>
      </c>
      <c r="B2" t="inlineStr">
        <is>
          <t>Maxens</t>
        </is>
      </c>
      <c r="C2" s="6" t="n">
        <v>360</v>
      </c>
      <c r="D2" t="n">
        <v>1</v>
      </c>
      <c r="E2" t="inlineStr">
        <is>
          <t>12 × 30 € depuis 01/11</t>
        </is>
      </c>
      <c r="F2" s="6">
        <f>IF(A2="","",SUMIFS(Depenses!$E:$E,Depenses!$B:$B,A2,Depenses!$F:$F,B2))</f>
        <v/>
      </c>
      <c r="G2" s="6">
        <f>IF(A2="","",SUMIFS(Depenses!$E:$E,Depenses!$B:$B,A2))</f>
        <v/>
      </c>
      <c r="H2">
        <f>IF(A2="","",COUNTIFS($A:$A,A2,$D:$D,1))</f>
        <v/>
      </c>
      <c r="I2" s="6">
        <f>IF(A2="","",IF(AND(D2=1,H2&gt;0),G2/H2,0))</f>
        <v/>
      </c>
      <c r="J2" s="6">
        <f>IF(A2="","",C2+F2-I2)</f>
        <v/>
      </c>
      <c r="K2" s="9" t="n"/>
    </row>
    <row r="3">
      <c r="A3" t="inlineStr">
        <is>
          <t>2026-clermont-ferrand</t>
        </is>
      </c>
      <c r="B3" t="inlineStr">
        <is>
          <t>Christophe</t>
        </is>
      </c>
      <c r="C3" s="6" t="n">
        <v>0</v>
      </c>
      <c r="D3" t="n">
        <v>1</v>
      </c>
      <c r="F3" s="6">
        <f>IF(A3="","",SUMIFS(Depenses!$E:$E,Depenses!$B:$B,A3,Depenses!$F:$F,B3))</f>
        <v/>
      </c>
      <c r="G3" s="6">
        <f>IF(A3="","",SUMIFS(Depenses!$E:$E,Depenses!$B:$B,A3))</f>
        <v/>
      </c>
      <c r="H3">
        <f>IF(A3="","",COUNTIFS($A:$A,A3,$D:$D,1))</f>
        <v/>
      </c>
      <c r="I3" s="6">
        <f>IF(A3="","",IF(AND(D3=1,H3&gt;0),G3/H3,0))</f>
        <v/>
      </c>
      <c r="J3" s="6">
        <f>IF(A3="","",C3+F3-I3)</f>
        <v/>
      </c>
      <c r="K3" s="9" t="n"/>
    </row>
    <row r="4">
      <c r="A4" t="inlineStr">
        <is>
          <t>2026-clermont-ferrand</t>
        </is>
      </c>
      <c r="B4" t="inlineStr">
        <is>
          <t>Olive</t>
        </is>
      </c>
      <c r="C4" s="6" t="n">
        <v>0</v>
      </c>
      <c r="D4" t="n">
        <v>1</v>
      </c>
      <c r="F4" s="6">
        <f>IF(A4="","",SUMIFS(Depenses!$E:$E,Depenses!$B:$B,A4,Depenses!$F:$F,B4))</f>
        <v/>
      </c>
      <c r="G4" s="6">
        <f>IF(A4="","",SUMIFS(Depenses!$E:$E,Depenses!$B:$B,A4))</f>
        <v/>
      </c>
      <c r="H4">
        <f>IF(A4="","",COUNTIFS($A:$A,A4,$D:$D,1))</f>
        <v/>
      </c>
      <c r="I4" s="6">
        <f>IF(A4="","",IF(AND(D4=1,H4&gt;0),G4/H4,0))</f>
        <v/>
      </c>
      <c r="J4" s="6">
        <f>IF(A4="","",C4+F4-I4)</f>
        <v/>
      </c>
      <c r="K4" s="9" t="n"/>
    </row>
    <row r="5">
      <c r="A5" t="inlineStr">
        <is>
          <t>2026-clermont-ferrand</t>
        </is>
      </c>
      <c r="B5" t="inlineStr">
        <is>
          <t>Alex</t>
        </is>
      </c>
      <c r="C5" s="6" t="n">
        <v>180</v>
      </c>
      <c r="D5" t="n">
        <v>1</v>
      </c>
      <c r="E5" t="inlineStr">
        <is>
          <t>12 × 15 €</t>
        </is>
      </c>
      <c r="F5" s="6">
        <f>IF(A5="","",SUMIFS(Depenses!$E:$E,Depenses!$B:$B,A5,Depenses!$F:$F,B5))</f>
        <v/>
      </c>
      <c r="G5" s="6">
        <f>IF(A5="","",SUMIFS(Depenses!$E:$E,Depenses!$B:$B,A5))</f>
        <v/>
      </c>
      <c r="H5">
        <f>IF(A5="","",COUNTIFS($A:$A,A5,$D:$D,1))</f>
        <v/>
      </c>
      <c r="I5" s="6">
        <f>IF(A5="","",IF(AND(D5=1,H5&gt;0),G5/H5,0))</f>
        <v/>
      </c>
      <c r="J5" s="6">
        <f>IF(A5="","",C5+F5-I5)</f>
        <v/>
      </c>
      <c r="K5" s="9" t="n"/>
    </row>
    <row r="6">
      <c r="A6" t="inlineStr">
        <is>
          <t>2026-clermont-ferrand</t>
        </is>
      </c>
      <c r="B6" t="inlineStr">
        <is>
          <t>Fred</t>
        </is>
      </c>
      <c r="C6" s="6" t="n">
        <v>180</v>
      </c>
      <c r="D6" t="n">
        <v>1</v>
      </c>
      <c r="E6" t="inlineStr">
        <is>
          <t>12 × 15 € depuis 02/11</t>
        </is>
      </c>
      <c r="F6" s="6">
        <f>IF(A6="","",SUMIFS(Depenses!$E:$E,Depenses!$B:$B,A6,Depenses!$F:$F,B6))</f>
        <v/>
      </c>
      <c r="G6" s="6">
        <f>IF(A6="","",SUMIFS(Depenses!$E:$E,Depenses!$B:$B,A6))</f>
        <v/>
      </c>
      <c r="H6">
        <f>IF(A6="","",COUNTIFS($A:$A,A6,$D:$D,1))</f>
        <v/>
      </c>
      <c r="I6" s="6">
        <f>IF(A6="","",IF(AND(D6=1,H6&gt;0),G6/H6,0))</f>
        <v/>
      </c>
      <c r="J6" s="6">
        <f>IF(A6="","",C6+F6-I6)</f>
        <v/>
      </c>
      <c r="K6" s="9" t="n"/>
    </row>
    <row r="7">
      <c r="A7" t="inlineStr">
        <is>
          <t>2026-clermont-ferrand</t>
        </is>
      </c>
      <c r="B7" t="inlineStr">
        <is>
          <t>JC</t>
        </is>
      </c>
      <c r="C7" s="6" t="n">
        <v>0</v>
      </c>
      <c r="D7" t="n">
        <v>1</v>
      </c>
      <c r="F7" s="6">
        <f>IF(A7="","",SUMIFS(Depenses!$E:$E,Depenses!$B:$B,A7,Depenses!$F:$F,B7))</f>
        <v/>
      </c>
      <c r="G7" s="6">
        <f>IF(A7="","",SUMIFS(Depenses!$E:$E,Depenses!$B:$B,A7))</f>
        <v/>
      </c>
      <c r="H7">
        <f>IF(A7="","",COUNTIFS($A:$A,A7,$D:$D,1))</f>
        <v/>
      </c>
      <c r="I7" s="6">
        <f>IF(A7="","",IF(AND(D7=1,H7&gt;0),G7/H7,0))</f>
        <v/>
      </c>
      <c r="J7" s="6">
        <f>IF(A7="","",C7+F7-I7)</f>
        <v/>
      </c>
      <c r="K7" s="9" t="n"/>
    </row>
    <row r="8">
      <c r="A8" t="inlineStr">
        <is>
          <t>2026-clermont-ferrand</t>
        </is>
      </c>
      <c r="B8" t="inlineStr">
        <is>
          <t>OMR</t>
        </is>
      </c>
      <c r="C8" s="6" t="n">
        <v>600</v>
      </c>
      <c r="D8" t="n">
        <v>1</v>
      </c>
      <c r="E8" t="inlineStr">
        <is>
          <t>12 × 50 €</t>
        </is>
      </c>
      <c r="F8" s="6">
        <f>IF(A8="","",SUMIFS(Depenses!$E:$E,Depenses!$B:$B,A8,Depenses!$F:$F,B8))</f>
        <v/>
      </c>
      <c r="G8" s="6">
        <f>IF(A8="","",SUMIFS(Depenses!$E:$E,Depenses!$B:$B,A8))</f>
        <v/>
      </c>
      <c r="H8">
        <f>IF(A8="","",COUNTIFS($A:$A,A8,$D:$D,1))</f>
        <v/>
      </c>
      <c r="I8" s="6">
        <f>IF(A8="","",IF(AND(D8=1,H8&gt;0),G8/H8,0))</f>
        <v/>
      </c>
      <c r="J8" s="6">
        <f>IF(A8="","",C8+F8-I8)</f>
        <v/>
      </c>
      <c r="K8" s="9" t="n"/>
    </row>
    <row r="9">
      <c r="A9" t="inlineStr">
        <is>
          <t>2026-clermont-ferrand</t>
        </is>
      </c>
      <c r="B9" t="inlineStr">
        <is>
          <t>Vince</t>
        </is>
      </c>
      <c r="C9" s="6" t="n">
        <v>0</v>
      </c>
      <c r="D9" t="n">
        <v>0</v>
      </c>
      <c r="F9" s="6">
        <f>IF(A9="","",SUMIFS(Depenses!$E:$E,Depenses!$B:$B,A9,Depenses!$F:$F,B9))</f>
        <v/>
      </c>
      <c r="G9" s="6">
        <f>IF(A9="","",SUMIFS(Depenses!$E:$E,Depenses!$B:$B,A9))</f>
        <v/>
      </c>
      <c r="H9">
        <f>IF(A9="","",COUNTIFS($A:$A,A9,$D:$D,1))</f>
        <v/>
      </c>
      <c r="I9" s="6">
        <f>IF(A9="","",IF(AND(D9=1,H9&gt;0),G9/H9,0))</f>
        <v/>
      </c>
      <c r="J9" s="6">
        <f>IF(A9="","",C9+F9-I9)</f>
        <v/>
      </c>
      <c r="K9" s="9" t="n"/>
    </row>
    <row r="10">
      <c r="A10" t="inlineStr">
        <is>
          <t>2027</t>
        </is>
      </c>
      <c r="B10" t="inlineStr">
        <is>
          <t>Maxens</t>
        </is>
      </c>
      <c r="C10" s="6" t="n">
        <v>360</v>
      </c>
      <c r="D10" t="n">
        <v>1</v>
      </c>
      <c r="E10" t="inlineStr">
        <is>
          <t>12 × 30 € depuis 01/11</t>
        </is>
      </c>
      <c r="F10" s="6">
        <f>IF(A10="","",SUMIFS(Depenses!$E:$E,Depenses!$B:$B,A10,Depenses!$F:$F,B10))</f>
        <v/>
      </c>
      <c r="G10" s="6">
        <f>IF(A10="","",SUMIFS(Depenses!$E:$E,Depenses!$B:$B,A10))</f>
        <v/>
      </c>
      <c r="H10">
        <f>IF(A10="","",COUNTIFS($A:$A,A10,$D:$D,1))</f>
        <v/>
      </c>
      <c r="I10" s="6">
        <f>IF(A10="","",IF(AND(D10=1,H10&gt;0),G10/H10,0))</f>
        <v/>
      </c>
      <c r="J10" s="6">
        <f>IF(A10="","",C10+F10-I10)</f>
        <v/>
      </c>
      <c r="K10" s="9" t="n"/>
    </row>
    <row r="11">
      <c r="A11" t="inlineStr">
        <is>
          <t>2027</t>
        </is>
      </c>
      <c r="B11" t="inlineStr">
        <is>
          <t>Christophe</t>
        </is>
      </c>
      <c r="C11" s="6" t="n">
        <v>0</v>
      </c>
      <c r="D11" t="n">
        <v>1</v>
      </c>
      <c r="F11" s="6">
        <f>IF(A11="","",SUMIFS(Depenses!$E:$E,Depenses!$B:$B,A11,Depenses!$F:$F,B11))</f>
        <v/>
      </c>
      <c r="G11" s="6">
        <f>IF(A11="","",SUMIFS(Depenses!$E:$E,Depenses!$B:$B,A11))</f>
        <v/>
      </c>
      <c r="H11">
        <f>IF(A11="","",COUNTIFS($A:$A,A11,$D:$D,1))</f>
        <v/>
      </c>
      <c r="I11" s="6">
        <f>IF(A11="","",IF(AND(D11=1,H11&gt;0),G11/H11,0))</f>
        <v/>
      </c>
      <c r="J11" s="6">
        <f>IF(A11="","",C11+F11-I11)</f>
        <v/>
      </c>
      <c r="K11" s="9" t="n"/>
    </row>
    <row r="12">
      <c r="A12" t="inlineStr">
        <is>
          <t>2027</t>
        </is>
      </c>
      <c r="B12" t="inlineStr">
        <is>
          <t>Olive</t>
        </is>
      </c>
      <c r="C12" s="6" t="n">
        <v>0</v>
      </c>
      <c r="D12" t="n">
        <v>1</v>
      </c>
      <c r="F12" s="6">
        <f>IF(A12="","",SUMIFS(Depenses!$E:$E,Depenses!$B:$B,A12,Depenses!$F:$F,B12))</f>
        <v/>
      </c>
      <c r="G12" s="6">
        <f>IF(A12="","",SUMIFS(Depenses!$E:$E,Depenses!$B:$B,A12))</f>
        <v/>
      </c>
      <c r="H12">
        <f>IF(A12="","",COUNTIFS($A:$A,A12,$D:$D,1))</f>
        <v/>
      </c>
      <c r="I12" s="6">
        <f>IF(A12="","",IF(AND(D12=1,H12&gt;0),G12/H12,0))</f>
        <v/>
      </c>
      <c r="J12" s="6">
        <f>IF(A12="","",C12+F12-I12)</f>
        <v/>
      </c>
      <c r="K12" s="9" t="n"/>
    </row>
    <row r="13">
      <c r="A13" t="inlineStr">
        <is>
          <t>2027</t>
        </is>
      </c>
      <c r="B13" t="inlineStr">
        <is>
          <t>Alex</t>
        </is>
      </c>
      <c r="C13" s="6" t="n">
        <v>180</v>
      </c>
      <c r="D13" t="n">
        <v>1</v>
      </c>
      <c r="E13" t="inlineStr">
        <is>
          <t>12 × 15 €</t>
        </is>
      </c>
      <c r="F13" s="6">
        <f>IF(A13="","",SUMIFS(Depenses!$E:$E,Depenses!$B:$B,A13,Depenses!$F:$F,B13))</f>
        <v/>
      </c>
      <c r="G13" s="6">
        <f>IF(A13="","",SUMIFS(Depenses!$E:$E,Depenses!$B:$B,A13))</f>
        <v/>
      </c>
      <c r="H13">
        <f>IF(A13="","",COUNTIFS($A:$A,A13,$D:$D,1))</f>
        <v/>
      </c>
      <c r="I13" s="6">
        <f>IF(A13="","",IF(AND(D13=1,H13&gt;0),G13/H13,0))</f>
        <v/>
      </c>
      <c r="J13" s="6">
        <f>IF(A13="","",C13+F13-I13)</f>
        <v/>
      </c>
      <c r="K13" s="9" t="n"/>
    </row>
    <row r="14">
      <c r="A14" t="inlineStr">
        <is>
          <t>2027</t>
        </is>
      </c>
      <c r="B14" t="inlineStr">
        <is>
          <t>Fred</t>
        </is>
      </c>
      <c r="C14" s="6" t="n">
        <v>180</v>
      </c>
      <c r="D14" t="n">
        <v>1</v>
      </c>
      <c r="E14" t="inlineStr">
        <is>
          <t>12 × 15 € depuis 02/11</t>
        </is>
      </c>
      <c r="F14" s="6">
        <f>IF(A14="","",SUMIFS(Depenses!$E:$E,Depenses!$B:$B,A14,Depenses!$F:$F,B14))</f>
        <v/>
      </c>
      <c r="G14" s="6">
        <f>IF(A14="","",SUMIFS(Depenses!$E:$E,Depenses!$B:$B,A14))</f>
        <v/>
      </c>
      <c r="H14">
        <f>IF(A14="","",COUNTIFS($A:$A,A14,$D:$D,1))</f>
        <v/>
      </c>
      <c r="I14" s="6">
        <f>IF(A14="","",IF(AND(D14=1,H14&gt;0),G14/H14,0))</f>
        <v/>
      </c>
      <c r="J14" s="6">
        <f>IF(A14="","",C14+F14-I14)</f>
        <v/>
      </c>
      <c r="K14" s="9" t="n"/>
    </row>
    <row r="15">
      <c r="A15" t="inlineStr">
        <is>
          <t>2027</t>
        </is>
      </c>
      <c r="B15" t="inlineStr">
        <is>
          <t>JC</t>
        </is>
      </c>
      <c r="C15" s="6" t="n">
        <v>0</v>
      </c>
      <c r="D15" t="n">
        <v>1</v>
      </c>
      <c r="F15" s="6">
        <f>IF(A15="","",SUMIFS(Depenses!$E:$E,Depenses!$B:$B,A15,Depenses!$F:$F,B15))</f>
        <v/>
      </c>
      <c r="G15" s="6">
        <f>IF(A15="","",SUMIFS(Depenses!$E:$E,Depenses!$B:$B,A15))</f>
        <v/>
      </c>
      <c r="H15">
        <f>IF(A15="","",COUNTIFS($A:$A,A15,$D:$D,1))</f>
        <v/>
      </c>
      <c r="I15" s="6">
        <f>IF(A15="","",IF(AND(D15=1,H15&gt;0),G15/H15,0))</f>
        <v/>
      </c>
      <c r="J15" s="6">
        <f>IF(A15="","",C15+F15-I15)</f>
        <v/>
      </c>
      <c r="K15" s="9" t="n"/>
    </row>
    <row r="16">
      <c r="A16" t="inlineStr">
        <is>
          <t>2027</t>
        </is>
      </c>
      <c r="B16" t="inlineStr">
        <is>
          <t>OMR</t>
        </is>
      </c>
      <c r="C16" s="6" t="n">
        <v>600</v>
      </c>
      <c r="D16" t="n">
        <v>1</v>
      </c>
      <c r="E16" t="inlineStr">
        <is>
          <t>12 × 50 €</t>
        </is>
      </c>
      <c r="F16" s="6">
        <f>IF(A16="","",SUMIFS(Depenses!$E:$E,Depenses!$B:$B,A16,Depenses!$F:$F,B16))</f>
        <v/>
      </c>
      <c r="G16" s="6">
        <f>IF(A16="","",SUMIFS(Depenses!$E:$E,Depenses!$B:$B,A16))</f>
        <v/>
      </c>
      <c r="H16">
        <f>IF(A16="","",COUNTIFS($A:$A,A16,$D:$D,1))</f>
        <v/>
      </c>
      <c r="I16" s="6">
        <f>IF(A16="","",IF(AND(D16=1,H16&gt;0),G16/H16,0))</f>
        <v/>
      </c>
      <c r="J16" s="6">
        <f>IF(A16="","",C16+F16-I16)</f>
        <v/>
      </c>
      <c r="K16" s="9" t="n"/>
    </row>
    <row r="17">
      <c r="A17" t="inlineStr">
        <is>
          <t>2027</t>
        </is>
      </c>
      <c r="B17" t="inlineStr">
        <is>
          <t>Vince</t>
        </is>
      </c>
      <c r="C17" s="6" t="n">
        <v>530</v>
      </c>
      <c r="D17" t="n">
        <v>1</v>
      </c>
      <c r="E17" t="inlineStr">
        <is>
          <t>(50 euros le 3 octobre + 40 les mois suivants (12x40+50)</t>
        </is>
      </c>
      <c r="F17" s="6">
        <f>IF(A17="","",SUMIFS(Depenses!$E:$E,Depenses!$B:$B,A17,Depenses!$F:$F,B17))</f>
        <v/>
      </c>
      <c r="G17" s="6">
        <f>IF(A17="","",SUMIFS(Depenses!$E:$E,Depenses!$B:$B,A17))</f>
        <v/>
      </c>
      <c r="H17">
        <f>IF(A17="","",COUNTIFS($A:$A,A17,$D:$D,1))</f>
        <v/>
      </c>
      <c r="I17" s="6">
        <f>IF(A17="","",IF(AND(D17=1,H17&gt;0),G17/H17,0))</f>
        <v/>
      </c>
      <c r="J17" s="6">
        <f>IF(A17="","",C17+F17-I17)</f>
        <v/>
      </c>
      <c r="K17" s="9" t="n"/>
    </row>
    <row r="18">
      <c r="C18" s="6" t="n"/>
      <c r="F18" s="6">
        <f>IF(A18="","",SUMIFS(Depenses!$E:$E,Depenses!$B:$B,A18,Depenses!$F:$F,B18))</f>
        <v/>
      </c>
      <c r="G18" s="6">
        <f>IF(A18="","",SUMIFS(Depenses!$E:$E,Depenses!$B:$B,A18))</f>
        <v/>
      </c>
      <c r="H18">
        <f>IF(A18="","",COUNTIFS($A:$A,A18,$D:$D,1))</f>
        <v/>
      </c>
      <c r="I18" s="6">
        <f>IF(A18="","",IF(AND(D18=1,H18&gt;0),G18/H18,0))</f>
        <v/>
      </c>
      <c r="J18" s="6">
        <f>IF(A18="","",C18+F18-I18)</f>
        <v/>
      </c>
      <c r="K18" s="9" t="n"/>
    </row>
    <row r="19">
      <c r="C19" s="6" t="n"/>
      <c r="F19" s="6">
        <f>IF(A19="","",SUMIFS(Depenses!$E:$E,Depenses!$B:$B,A19,Depenses!$F:$F,B19))</f>
        <v/>
      </c>
      <c r="G19" s="6">
        <f>IF(A19="","",SUMIFS(Depenses!$E:$E,Depenses!$B:$B,A19))</f>
        <v/>
      </c>
      <c r="H19">
        <f>IF(A19="","",COUNTIFS($A:$A,A19,$D:$D,1))</f>
        <v/>
      </c>
      <c r="I19" s="6">
        <f>IF(A19="","",IF(AND(D19=1,H19&gt;0),G19/H19,0))</f>
        <v/>
      </c>
      <c r="J19" s="6">
        <f>IF(A19="","",C19+F19-I19)</f>
        <v/>
      </c>
      <c r="K19" s="9" t="n"/>
    </row>
    <row r="20">
      <c r="C20" s="6" t="n"/>
      <c r="F20" s="6">
        <f>IF(A20="","",SUMIFS(Depenses!$E:$E,Depenses!$B:$B,A20,Depenses!$F:$F,B20))</f>
        <v/>
      </c>
      <c r="G20" s="6">
        <f>IF(A20="","",SUMIFS(Depenses!$E:$E,Depenses!$B:$B,A20))</f>
        <v/>
      </c>
      <c r="H20">
        <f>IF(A20="","",COUNTIFS($A:$A,A20,$D:$D,1))</f>
        <v/>
      </c>
      <c r="I20" s="6">
        <f>IF(A20="","",IF(AND(D20=1,H20&gt;0),G20/H20,0))</f>
        <v/>
      </c>
      <c r="J20" s="6">
        <f>IF(A20="","",C20+F20-I20)</f>
        <v/>
      </c>
      <c r="K20" s="9" t="n"/>
    </row>
    <row r="21">
      <c r="C21" s="6" t="n"/>
      <c r="F21" s="6">
        <f>IF(A21="","",SUMIFS(Depenses!$E:$E,Depenses!$B:$B,A21,Depenses!$F:$F,B21))</f>
        <v/>
      </c>
      <c r="G21" s="6">
        <f>IF(A21="","",SUMIFS(Depenses!$E:$E,Depenses!$B:$B,A21))</f>
        <v/>
      </c>
      <c r="H21">
        <f>IF(A21="","",COUNTIFS($A:$A,A21,$D:$D,1))</f>
        <v/>
      </c>
      <c r="I21" s="6">
        <f>IF(A21="","",IF(AND(D21=1,H21&gt;0),G21/H21,0))</f>
        <v/>
      </c>
      <c r="J21" s="6">
        <f>IF(A21="","",C21+F21-I21)</f>
        <v/>
      </c>
      <c r="K21" s="9" t="n"/>
    </row>
    <row r="22">
      <c r="C22" s="6" t="n"/>
      <c r="F22" s="6">
        <f>IF(A22="","",SUMIFS(Depenses!$E:$E,Depenses!$B:$B,A22,Depenses!$F:$F,B22))</f>
        <v/>
      </c>
      <c r="G22" s="6">
        <f>IF(A22="","",SUMIFS(Depenses!$E:$E,Depenses!$B:$B,A22))</f>
        <v/>
      </c>
      <c r="H22">
        <f>IF(A22="","",COUNTIFS($A:$A,A22,$D:$D,1))</f>
        <v/>
      </c>
      <c r="I22" s="6">
        <f>IF(A22="","",IF(AND(D22=1,H22&gt;0),G22/H22,0))</f>
        <v/>
      </c>
      <c r="J22" s="6">
        <f>IF(A22="","",C22+F22-I22)</f>
        <v/>
      </c>
      <c r="K22" s="9" t="n"/>
    </row>
    <row r="23">
      <c r="C23" s="6" t="n"/>
      <c r="F23" s="6">
        <f>IF(A23="","",SUMIFS(Depenses!$E:$E,Depenses!$B:$B,A23,Depenses!$F:$F,B23))</f>
        <v/>
      </c>
      <c r="G23" s="6">
        <f>IF(A23="","",SUMIFS(Depenses!$E:$E,Depenses!$B:$B,A23))</f>
        <v/>
      </c>
      <c r="H23">
        <f>IF(A23="","",COUNTIFS($A:$A,A23,$D:$D,1))</f>
        <v/>
      </c>
      <c r="I23" s="6">
        <f>IF(A23="","",IF(AND(D23=1,H23&gt;0),G23/H23,0))</f>
        <v/>
      </c>
      <c r="J23" s="6">
        <f>IF(A23="","",C23+F23-I23)</f>
        <v/>
      </c>
      <c r="K23" s="9" t="n"/>
    </row>
    <row r="24">
      <c r="C24" s="6" t="n"/>
      <c r="F24" s="6">
        <f>IF(A24="","",SUMIFS(Depenses!$E:$E,Depenses!$B:$B,A24,Depenses!$F:$F,B24))</f>
        <v/>
      </c>
      <c r="G24" s="6">
        <f>IF(A24="","",SUMIFS(Depenses!$E:$E,Depenses!$B:$B,A24))</f>
        <v/>
      </c>
      <c r="H24">
        <f>IF(A24="","",COUNTIFS($A:$A,A24,$D:$D,1))</f>
        <v/>
      </c>
      <c r="I24" s="6">
        <f>IF(A24="","",IF(AND(D24=1,H24&gt;0),G24/H24,0))</f>
        <v/>
      </c>
      <c r="J24" s="6">
        <f>IF(A24="","",C24+F24-I24)</f>
        <v/>
      </c>
      <c r="K24" s="9" t="n"/>
    </row>
    <row r="25">
      <c r="C25" s="6" t="n"/>
      <c r="F25" s="6">
        <f>IF(A25="","",SUMIFS(Depenses!$E:$E,Depenses!$B:$B,A25,Depenses!$F:$F,B25))</f>
        <v/>
      </c>
      <c r="G25" s="6">
        <f>IF(A25="","",SUMIFS(Depenses!$E:$E,Depenses!$B:$B,A25))</f>
        <v/>
      </c>
      <c r="H25">
        <f>IF(A25="","",COUNTIFS($A:$A,A25,$D:$D,1))</f>
        <v/>
      </c>
      <c r="I25" s="6">
        <f>IF(A25="","",IF(AND(D25=1,H25&gt;0),G25/H25,0))</f>
        <v/>
      </c>
      <c r="J25" s="6">
        <f>IF(A25="","",C25+F25-I25)</f>
        <v/>
      </c>
      <c r="K25" s="9" t="n"/>
    </row>
    <row r="26">
      <c r="C26" s="6" t="n"/>
      <c r="F26" s="6">
        <f>IF(A26="","",SUMIFS(Depenses!$E:$E,Depenses!$B:$B,A26,Depenses!$F:$F,B26))</f>
        <v/>
      </c>
      <c r="G26" s="6">
        <f>IF(A26="","",SUMIFS(Depenses!$E:$E,Depenses!$B:$B,A26))</f>
        <v/>
      </c>
      <c r="H26">
        <f>IF(A26="","",COUNTIFS($A:$A,A26,$D:$D,1))</f>
        <v/>
      </c>
      <c r="I26" s="6">
        <f>IF(A26="","",IF(AND(D26=1,H26&gt;0),G26/H26,0))</f>
        <v/>
      </c>
      <c r="J26" s="6">
        <f>IF(A26="","",C26+F26-I26)</f>
        <v/>
      </c>
      <c r="K26" s="9" t="n"/>
    </row>
    <row r="27">
      <c r="C27" s="6" t="n"/>
      <c r="F27" s="6">
        <f>IF(A27="","",SUMIFS(Depenses!$E:$E,Depenses!$B:$B,A27,Depenses!$F:$F,B27))</f>
        <v/>
      </c>
      <c r="G27" s="6">
        <f>IF(A27="","",SUMIFS(Depenses!$E:$E,Depenses!$B:$B,A27))</f>
        <v/>
      </c>
      <c r="H27">
        <f>IF(A27="","",COUNTIFS($A:$A,A27,$D:$D,1))</f>
        <v/>
      </c>
      <c r="I27" s="6">
        <f>IF(A27="","",IF(AND(D27=1,H27&gt;0),G27/H27,0))</f>
        <v/>
      </c>
      <c r="J27" s="6">
        <f>IF(A27="","",C27+F27-I27)</f>
        <v/>
      </c>
      <c r="K27" s="9" t="n"/>
    </row>
    <row r="28">
      <c r="C28" s="6" t="n"/>
      <c r="F28" s="6">
        <f>IF(A28="","",SUMIFS(Depenses!$E:$E,Depenses!$B:$B,A28,Depenses!$F:$F,B28))</f>
        <v/>
      </c>
      <c r="G28" s="6">
        <f>IF(A28="","",SUMIFS(Depenses!$E:$E,Depenses!$B:$B,A28))</f>
        <v/>
      </c>
      <c r="H28">
        <f>IF(A28="","",COUNTIFS($A:$A,A28,$D:$D,1))</f>
        <v/>
      </c>
      <c r="I28" s="6">
        <f>IF(A28="","",IF(AND(D28=1,H28&gt;0),G28/H28,0))</f>
        <v/>
      </c>
      <c r="J28" s="6">
        <f>IF(A28="","",C28+F28-I28)</f>
        <v/>
      </c>
      <c r="K28" s="9" t="n"/>
    </row>
    <row r="29">
      <c r="C29" s="6" t="n"/>
      <c r="F29" s="6">
        <f>IF(A29="","",SUMIFS(Depenses!$E:$E,Depenses!$B:$B,A29,Depenses!$F:$F,B29))</f>
        <v/>
      </c>
      <c r="G29" s="6">
        <f>IF(A29="","",SUMIFS(Depenses!$E:$E,Depenses!$B:$B,A29))</f>
        <v/>
      </c>
      <c r="H29">
        <f>IF(A29="","",COUNTIFS($A:$A,A29,$D:$D,1))</f>
        <v/>
      </c>
      <c r="I29" s="6">
        <f>IF(A29="","",IF(AND(D29=1,H29&gt;0),G29/H29,0))</f>
        <v/>
      </c>
      <c r="J29" s="6">
        <f>IF(A29="","",C29+F29-I29)</f>
        <v/>
      </c>
      <c r="K29" s="9" t="n"/>
    </row>
    <row r="30">
      <c r="C30" s="6" t="n"/>
      <c r="F30" s="6">
        <f>IF(A30="","",SUMIFS(Depenses!$E:$E,Depenses!$B:$B,A30,Depenses!$F:$F,B30))</f>
        <v/>
      </c>
      <c r="G30" s="6">
        <f>IF(A30="","",SUMIFS(Depenses!$E:$E,Depenses!$B:$B,A30))</f>
        <v/>
      </c>
      <c r="H30">
        <f>IF(A30="","",COUNTIFS($A:$A,A30,$D:$D,1))</f>
        <v/>
      </c>
      <c r="I30" s="6">
        <f>IF(A30="","",IF(AND(D30=1,H30&gt;0),G30/H30,0))</f>
        <v/>
      </c>
      <c r="J30" s="6">
        <f>IF(A30="","",C30+F30-I30)</f>
        <v/>
      </c>
      <c r="K30" s="9" t="n"/>
    </row>
    <row r="31">
      <c r="C31" s="6" t="n"/>
      <c r="F31" s="6">
        <f>IF(A31="","",SUMIFS(Depenses!$E:$E,Depenses!$B:$B,A31,Depenses!$F:$F,B31))</f>
        <v/>
      </c>
      <c r="G31" s="6">
        <f>IF(A31="","",SUMIFS(Depenses!$E:$E,Depenses!$B:$B,A31))</f>
        <v/>
      </c>
      <c r="H31">
        <f>IF(A31="","",COUNTIFS($A:$A,A31,$D:$D,1))</f>
        <v/>
      </c>
      <c r="I31" s="6">
        <f>IF(A31="","",IF(AND(D31=1,H31&gt;0),G31/H31,0))</f>
        <v/>
      </c>
      <c r="J31" s="6">
        <f>IF(A31="","",C31+F31-I31)</f>
        <v/>
      </c>
      <c r="K31" s="9" t="n"/>
    </row>
    <row r="32">
      <c r="C32" s="6" t="n"/>
      <c r="F32" s="6">
        <f>IF(A32="","",SUMIFS(Depenses!$E:$E,Depenses!$B:$B,A32,Depenses!$F:$F,B32))</f>
        <v/>
      </c>
      <c r="G32" s="6">
        <f>IF(A32="","",SUMIFS(Depenses!$E:$E,Depenses!$B:$B,A32))</f>
        <v/>
      </c>
      <c r="H32">
        <f>IF(A32="","",COUNTIFS($A:$A,A32,$D:$D,1))</f>
        <v/>
      </c>
      <c r="I32" s="6">
        <f>IF(A32="","",IF(AND(D32=1,H32&gt;0),G32/H32,0))</f>
        <v/>
      </c>
      <c r="J32" s="6">
        <f>IF(A32="","",C32+F32-I32)</f>
        <v/>
      </c>
      <c r="K32" s="9" t="n"/>
    </row>
    <row r="33">
      <c r="C33" s="6" t="n"/>
      <c r="F33" s="6">
        <f>IF(A33="","",SUMIFS(Depenses!$E:$E,Depenses!$B:$B,A33,Depenses!$F:$F,B33))</f>
        <v/>
      </c>
      <c r="G33" s="6">
        <f>IF(A33="","",SUMIFS(Depenses!$E:$E,Depenses!$B:$B,A33))</f>
        <v/>
      </c>
      <c r="H33">
        <f>IF(A33="","",COUNTIFS($A:$A,A33,$D:$D,1))</f>
        <v/>
      </c>
      <c r="I33" s="6">
        <f>IF(A33="","",IF(AND(D33=1,H33&gt;0),G33/H33,0))</f>
        <v/>
      </c>
      <c r="J33" s="6">
        <f>IF(A33="","",C33+F33-I33)</f>
        <v/>
      </c>
      <c r="K33" s="9" t="n"/>
    </row>
    <row r="34">
      <c r="C34" s="6" t="n"/>
      <c r="F34" s="6">
        <f>IF(A34="","",SUMIFS(Depenses!$E:$E,Depenses!$B:$B,A34,Depenses!$F:$F,B34))</f>
        <v/>
      </c>
      <c r="G34" s="6">
        <f>IF(A34="","",SUMIFS(Depenses!$E:$E,Depenses!$B:$B,A34))</f>
        <v/>
      </c>
      <c r="H34">
        <f>IF(A34="","",COUNTIFS($A:$A,A34,$D:$D,1))</f>
        <v/>
      </c>
      <c r="I34" s="6">
        <f>IF(A34="","",IF(AND(D34=1,H34&gt;0),G34/H34,0))</f>
        <v/>
      </c>
      <c r="J34" s="6">
        <f>IF(A34="","",C34+F34-I34)</f>
        <v/>
      </c>
      <c r="K34" s="9" t="n"/>
    </row>
    <row r="35">
      <c r="C35" s="6" t="n"/>
      <c r="F35" s="6">
        <f>IF(A35="","",SUMIFS(Depenses!$E:$E,Depenses!$B:$B,A35,Depenses!$F:$F,B35))</f>
        <v/>
      </c>
      <c r="G35" s="6">
        <f>IF(A35="","",SUMIFS(Depenses!$E:$E,Depenses!$B:$B,A35))</f>
        <v/>
      </c>
      <c r="H35">
        <f>IF(A35="","",COUNTIFS($A:$A,A35,$D:$D,1))</f>
        <v/>
      </c>
      <c r="I35" s="6">
        <f>IF(A35="","",IF(AND(D35=1,H35&gt;0),G35/H35,0))</f>
        <v/>
      </c>
      <c r="J35" s="6">
        <f>IF(A35="","",C35+F35-I35)</f>
        <v/>
      </c>
      <c r="K35" s="9" t="n"/>
    </row>
    <row r="36">
      <c r="C36" s="6" t="n"/>
      <c r="F36" s="6">
        <f>IF(A36="","",SUMIFS(Depenses!$E:$E,Depenses!$B:$B,A36,Depenses!$F:$F,B36))</f>
        <v/>
      </c>
      <c r="G36" s="6">
        <f>IF(A36="","",SUMIFS(Depenses!$E:$E,Depenses!$B:$B,A36))</f>
        <v/>
      </c>
      <c r="H36">
        <f>IF(A36="","",COUNTIFS($A:$A,A36,$D:$D,1))</f>
        <v/>
      </c>
      <c r="I36" s="6">
        <f>IF(A36="","",IF(AND(D36=1,H36&gt;0),G36/H36,0))</f>
        <v/>
      </c>
      <c r="J36" s="6">
        <f>IF(A36="","",C36+F36-I36)</f>
        <v/>
      </c>
      <c r="K36" s="9" t="n"/>
    </row>
    <row r="37">
      <c r="C37" s="6" t="n"/>
      <c r="F37" s="6">
        <f>IF(A37="","",SUMIFS(Depenses!$E:$E,Depenses!$B:$B,A37,Depenses!$F:$F,B37))</f>
        <v/>
      </c>
      <c r="G37" s="6">
        <f>IF(A37="","",SUMIFS(Depenses!$E:$E,Depenses!$B:$B,A37))</f>
        <v/>
      </c>
      <c r="H37">
        <f>IF(A37="","",COUNTIFS($A:$A,A37,$D:$D,1))</f>
        <v/>
      </c>
      <c r="I37" s="6">
        <f>IF(A37="","",IF(AND(D37=1,H37&gt;0),G37/H37,0))</f>
        <v/>
      </c>
      <c r="J37" s="6">
        <f>IF(A37="","",C37+F37-I37)</f>
        <v/>
      </c>
      <c r="K37" s="9" t="n"/>
    </row>
    <row r="38">
      <c r="C38" s="6" t="n"/>
      <c r="F38" s="6">
        <f>IF(A38="","",SUMIFS(Depenses!$E:$E,Depenses!$B:$B,A38,Depenses!$F:$F,B38))</f>
        <v/>
      </c>
      <c r="G38" s="6">
        <f>IF(A38="","",SUMIFS(Depenses!$E:$E,Depenses!$B:$B,A38))</f>
        <v/>
      </c>
      <c r="H38">
        <f>IF(A38="","",COUNTIFS($A:$A,A38,$D:$D,1))</f>
        <v/>
      </c>
      <c r="I38" s="6">
        <f>IF(A38="","",IF(AND(D38=1,H38&gt;0),G38/H38,0))</f>
        <v/>
      </c>
      <c r="J38" s="6">
        <f>IF(A38="","",C38+F38-I38)</f>
        <v/>
      </c>
      <c r="K38" s="9" t="n"/>
    </row>
    <row r="39">
      <c r="C39" s="6" t="n"/>
      <c r="F39" s="6">
        <f>IF(A39="","",SUMIFS(Depenses!$E:$E,Depenses!$B:$B,A39,Depenses!$F:$F,B39))</f>
        <v/>
      </c>
      <c r="G39" s="6">
        <f>IF(A39="","",SUMIFS(Depenses!$E:$E,Depenses!$B:$B,A39))</f>
        <v/>
      </c>
      <c r="H39">
        <f>IF(A39="","",COUNTIFS($A:$A,A39,$D:$D,1))</f>
        <v/>
      </c>
      <c r="I39" s="6">
        <f>IF(A39="","",IF(AND(D39=1,H39&gt;0),G39/H39,0))</f>
        <v/>
      </c>
      <c r="J39" s="6">
        <f>IF(A39="","",C39+F39-I39)</f>
        <v/>
      </c>
      <c r="K39" s="9" t="n"/>
    </row>
    <row r="40">
      <c r="C40" s="6" t="n"/>
      <c r="F40" s="6">
        <f>IF(A40="","",SUMIFS(Depenses!$E:$E,Depenses!$B:$B,A40,Depenses!$F:$F,B40))</f>
        <v/>
      </c>
      <c r="G40" s="6">
        <f>IF(A40="","",SUMIFS(Depenses!$E:$E,Depenses!$B:$B,A40))</f>
        <v/>
      </c>
      <c r="H40">
        <f>IF(A40="","",COUNTIFS($A:$A,A40,$D:$D,1))</f>
        <v/>
      </c>
      <c r="I40" s="6">
        <f>IF(A40="","",IF(AND(D40=1,H40&gt;0),G40/H40,0))</f>
        <v/>
      </c>
      <c r="J40" s="6">
        <f>IF(A40="","",C40+F40-I40)</f>
        <v/>
      </c>
      <c r="K40" s="9" t="n"/>
    </row>
    <row r="41">
      <c r="C41" s="6" t="n"/>
      <c r="F41" s="6">
        <f>IF(A41="","",SUMIFS(Depenses!$E:$E,Depenses!$B:$B,A41,Depenses!$F:$F,B41))</f>
        <v/>
      </c>
      <c r="G41" s="6">
        <f>IF(A41="","",SUMIFS(Depenses!$E:$E,Depenses!$B:$B,A41))</f>
        <v/>
      </c>
      <c r="H41">
        <f>IF(A41="","",COUNTIFS($A:$A,A41,$D:$D,1))</f>
        <v/>
      </c>
      <c r="I41" s="6">
        <f>IF(A41="","",IF(AND(D41=1,H41&gt;0),G41/H41,0))</f>
        <v/>
      </c>
      <c r="J41" s="6">
        <f>IF(A41="","",C41+F41-I41)</f>
        <v/>
      </c>
      <c r="K41" s="9" t="n"/>
    </row>
    <row r="42">
      <c r="C42" s="6" t="n"/>
      <c r="F42" s="6">
        <f>IF(A42="","",SUMIFS(Depenses!$E:$E,Depenses!$B:$B,A42,Depenses!$F:$F,B42))</f>
        <v/>
      </c>
      <c r="G42" s="6">
        <f>IF(A42="","",SUMIFS(Depenses!$E:$E,Depenses!$B:$B,A42))</f>
        <v/>
      </c>
      <c r="H42">
        <f>IF(A42="","",COUNTIFS($A:$A,A42,$D:$D,1))</f>
        <v/>
      </c>
      <c r="I42" s="6">
        <f>IF(A42="","",IF(AND(D42=1,H42&gt;0),G42/H42,0))</f>
        <v/>
      </c>
      <c r="J42" s="6">
        <f>IF(A42="","",C42+F42-I42)</f>
        <v/>
      </c>
      <c r="K42" s="9" t="n"/>
    </row>
    <row r="43">
      <c r="C43" s="6" t="n"/>
      <c r="F43" s="6">
        <f>IF(A43="","",SUMIFS(Depenses!$E:$E,Depenses!$B:$B,A43,Depenses!$F:$F,B43))</f>
        <v/>
      </c>
      <c r="G43" s="6">
        <f>IF(A43="","",SUMIFS(Depenses!$E:$E,Depenses!$B:$B,A43))</f>
        <v/>
      </c>
      <c r="H43">
        <f>IF(A43="","",COUNTIFS($A:$A,A43,$D:$D,1))</f>
        <v/>
      </c>
      <c r="I43" s="6">
        <f>IF(A43="","",IF(AND(D43=1,H43&gt;0),G43/H43,0))</f>
        <v/>
      </c>
      <c r="J43" s="6">
        <f>IF(A43="","",C43+F43-I43)</f>
        <v/>
      </c>
      <c r="K43" s="9" t="n"/>
    </row>
    <row r="44">
      <c r="C44" s="6" t="n"/>
      <c r="F44" s="6">
        <f>IF(A44="","",SUMIFS(Depenses!$E:$E,Depenses!$B:$B,A44,Depenses!$F:$F,B44))</f>
        <v/>
      </c>
      <c r="G44" s="6">
        <f>IF(A44="","",SUMIFS(Depenses!$E:$E,Depenses!$B:$B,A44))</f>
        <v/>
      </c>
      <c r="H44">
        <f>IF(A44="","",COUNTIFS($A:$A,A44,$D:$D,1))</f>
        <v/>
      </c>
      <c r="I44" s="6">
        <f>IF(A44="","",IF(AND(D44=1,H44&gt;0),G44/H44,0))</f>
        <v/>
      </c>
      <c r="J44" s="6">
        <f>IF(A44="","",C44+F44-I44)</f>
        <v/>
      </c>
      <c r="K44" s="9" t="n"/>
    </row>
    <row r="45">
      <c r="C45" s="6" t="n"/>
      <c r="F45" s="6">
        <f>IF(A45="","",SUMIFS(Depenses!$E:$E,Depenses!$B:$B,A45,Depenses!$F:$F,B45))</f>
        <v/>
      </c>
      <c r="G45" s="6">
        <f>IF(A45="","",SUMIFS(Depenses!$E:$E,Depenses!$B:$B,A45))</f>
        <v/>
      </c>
      <c r="H45">
        <f>IF(A45="","",COUNTIFS($A:$A,A45,$D:$D,1))</f>
        <v/>
      </c>
      <c r="I45" s="6">
        <f>IF(A45="","",IF(AND(D45=1,H45&gt;0),G45/H45,0))</f>
        <v/>
      </c>
      <c r="J45" s="6">
        <f>IF(A45="","",C45+F45-I45)</f>
        <v/>
      </c>
      <c r="K45" s="9" t="n"/>
    </row>
    <row r="46">
      <c r="C46" s="6" t="n"/>
      <c r="F46" s="6">
        <f>IF(A46="","",SUMIFS(Depenses!$E:$E,Depenses!$B:$B,A46,Depenses!$F:$F,B46))</f>
        <v/>
      </c>
      <c r="G46" s="6">
        <f>IF(A46="","",SUMIFS(Depenses!$E:$E,Depenses!$B:$B,A46))</f>
        <v/>
      </c>
      <c r="H46">
        <f>IF(A46="","",COUNTIFS($A:$A,A46,$D:$D,1))</f>
        <v/>
      </c>
      <c r="I46" s="6">
        <f>IF(A46="","",IF(AND(D46=1,H46&gt;0),G46/H46,0))</f>
        <v/>
      </c>
      <c r="J46" s="6">
        <f>IF(A46="","",C46+F46-I46)</f>
        <v/>
      </c>
      <c r="K46" s="9" t="n"/>
    </row>
    <row r="47">
      <c r="C47" s="6" t="n"/>
      <c r="F47" s="6">
        <f>IF(A47="","",SUMIFS(Depenses!$E:$E,Depenses!$B:$B,A47,Depenses!$F:$F,B47))</f>
        <v/>
      </c>
      <c r="G47" s="6">
        <f>IF(A47="","",SUMIFS(Depenses!$E:$E,Depenses!$B:$B,A47))</f>
        <v/>
      </c>
      <c r="H47">
        <f>IF(A47="","",COUNTIFS($A:$A,A47,$D:$D,1))</f>
        <v/>
      </c>
      <c r="I47" s="6">
        <f>IF(A47="","",IF(AND(D47=1,H47&gt;0),G47/H47,0))</f>
        <v/>
      </c>
      <c r="J47" s="6">
        <f>IF(A47="","",C47+F47-I47)</f>
        <v/>
      </c>
      <c r="K47" s="9" t="n"/>
    </row>
    <row r="48">
      <c r="C48" s="6" t="n"/>
      <c r="F48" s="6">
        <f>IF(A48="","",SUMIFS(Depenses!$E:$E,Depenses!$B:$B,A48,Depenses!$F:$F,B48))</f>
        <v/>
      </c>
      <c r="G48" s="6">
        <f>IF(A48="","",SUMIFS(Depenses!$E:$E,Depenses!$B:$B,A48))</f>
        <v/>
      </c>
      <c r="H48">
        <f>IF(A48="","",COUNTIFS($A:$A,A48,$D:$D,1))</f>
        <v/>
      </c>
      <c r="I48" s="6">
        <f>IF(A48="","",IF(AND(D48=1,H48&gt;0),G48/H48,0))</f>
        <v/>
      </c>
      <c r="J48" s="6">
        <f>IF(A48="","",C48+F48-I48)</f>
        <v/>
      </c>
      <c r="K48" s="9" t="n"/>
    </row>
    <row r="49">
      <c r="C49" s="6" t="n"/>
      <c r="F49" s="6">
        <f>IF(A49="","",SUMIFS(Depenses!$E:$E,Depenses!$B:$B,A49,Depenses!$F:$F,B49))</f>
        <v/>
      </c>
      <c r="G49" s="6">
        <f>IF(A49="","",SUMIFS(Depenses!$E:$E,Depenses!$B:$B,A49))</f>
        <v/>
      </c>
      <c r="H49">
        <f>IF(A49="","",COUNTIFS($A:$A,A49,$D:$D,1))</f>
        <v/>
      </c>
      <c r="I49" s="6">
        <f>IF(A49="","",IF(AND(D49=1,H49&gt;0),G49/H49,0))</f>
        <v/>
      </c>
      <c r="J49" s="6">
        <f>IF(A49="","",C49+F49-I49)</f>
        <v/>
      </c>
      <c r="K49" s="9" t="n"/>
    </row>
    <row r="50">
      <c r="C50" s="6" t="n"/>
      <c r="F50" s="6">
        <f>IF(A50="","",SUMIFS(Depenses!$E:$E,Depenses!$B:$B,A50,Depenses!$F:$F,B50))</f>
        <v/>
      </c>
      <c r="G50" s="6">
        <f>IF(A50="","",SUMIFS(Depenses!$E:$E,Depenses!$B:$B,A50))</f>
        <v/>
      </c>
      <c r="H50">
        <f>IF(A50="","",COUNTIFS($A:$A,A50,$D:$D,1))</f>
        <v/>
      </c>
      <c r="I50" s="6">
        <f>IF(A50="","",IF(AND(D50=1,H50&gt;0),G50/H50,0))</f>
        <v/>
      </c>
      <c r="J50" s="6">
        <f>IF(A50="","",C50+F50-I50)</f>
        <v/>
      </c>
      <c r="K50" s="9" t="n"/>
    </row>
    <row r="51">
      <c r="C51" s="6" t="n"/>
      <c r="F51" s="6">
        <f>IF(A51="","",SUMIFS(Depenses!$E:$E,Depenses!$B:$B,A51,Depenses!$F:$F,B51))</f>
        <v/>
      </c>
      <c r="G51" s="6">
        <f>IF(A51="","",SUMIFS(Depenses!$E:$E,Depenses!$B:$B,A51))</f>
        <v/>
      </c>
      <c r="H51">
        <f>IF(A51="","",COUNTIFS($A:$A,A51,$D:$D,1))</f>
        <v/>
      </c>
      <c r="I51" s="6">
        <f>IF(A51="","",IF(AND(D51=1,H51&gt;0),G51/H51,0))</f>
        <v/>
      </c>
      <c r="J51" s="6">
        <f>IF(A51="","",C51+F51-I51)</f>
        <v/>
      </c>
      <c r="K51" s="9" t="n"/>
    </row>
    <row r="52">
      <c r="C52" s="6" t="n"/>
      <c r="F52" s="6">
        <f>IF(A52="","",SUMIFS(Depenses!$E:$E,Depenses!$B:$B,A52,Depenses!$F:$F,B52))</f>
        <v/>
      </c>
      <c r="G52" s="6">
        <f>IF(A52="","",SUMIFS(Depenses!$E:$E,Depenses!$B:$B,A52))</f>
        <v/>
      </c>
      <c r="H52">
        <f>IF(A52="","",COUNTIFS($A:$A,A52,$D:$D,1))</f>
        <v/>
      </c>
      <c r="I52" s="6">
        <f>IF(A52="","",IF(AND(D52=1,H52&gt;0),G52/H52,0))</f>
        <v/>
      </c>
      <c r="J52" s="6">
        <f>IF(A52="","",C52+F52-I52)</f>
        <v/>
      </c>
      <c r="K52" s="9" t="n"/>
    </row>
    <row r="53">
      <c r="C53" s="6" t="n"/>
      <c r="F53" s="6">
        <f>IF(A53="","",SUMIFS(Depenses!$E:$E,Depenses!$B:$B,A53,Depenses!$F:$F,B53))</f>
        <v/>
      </c>
      <c r="G53" s="6">
        <f>IF(A53="","",SUMIFS(Depenses!$E:$E,Depenses!$B:$B,A53))</f>
        <v/>
      </c>
      <c r="H53">
        <f>IF(A53="","",COUNTIFS($A:$A,A53,$D:$D,1))</f>
        <v/>
      </c>
      <c r="I53" s="6">
        <f>IF(A53="","",IF(AND(D53=1,H53&gt;0),G53/H53,0))</f>
        <v/>
      </c>
      <c r="J53" s="6">
        <f>IF(A53="","",C53+F53-I53)</f>
        <v/>
      </c>
      <c r="K53" s="9" t="n"/>
    </row>
    <row r="54">
      <c r="C54" s="6" t="n"/>
      <c r="F54" s="6">
        <f>IF(A54="","",SUMIFS(Depenses!$E:$E,Depenses!$B:$B,A54,Depenses!$F:$F,B54))</f>
        <v/>
      </c>
      <c r="G54" s="6">
        <f>IF(A54="","",SUMIFS(Depenses!$E:$E,Depenses!$B:$B,A54))</f>
        <v/>
      </c>
      <c r="H54">
        <f>IF(A54="","",COUNTIFS($A:$A,A54,$D:$D,1))</f>
        <v/>
      </c>
      <c r="I54" s="6">
        <f>IF(A54="","",IF(AND(D54=1,H54&gt;0),G54/H54,0))</f>
        <v/>
      </c>
      <c r="J54" s="6">
        <f>IF(A54="","",C54+F54-I54)</f>
        <v/>
      </c>
      <c r="K54" s="9" t="n"/>
    </row>
    <row r="55">
      <c r="C55" s="6" t="n"/>
      <c r="F55" s="6">
        <f>IF(A55="","",SUMIFS(Depenses!$E:$E,Depenses!$B:$B,A55,Depenses!$F:$F,B55))</f>
        <v/>
      </c>
      <c r="G55" s="6">
        <f>IF(A55="","",SUMIFS(Depenses!$E:$E,Depenses!$B:$B,A55))</f>
        <v/>
      </c>
      <c r="H55">
        <f>IF(A55="","",COUNTIFS($A:$A,A55,$D:$D,1))</f>
        <v/>
      </c>
      <c r="I55" s="6">
        <f>IF(A55="","",IF(AND(D55=1,H55&gt;0),G55/H55,0))</f>
        <v/>
      </c>
      <c r="J55" s="6">
        <f>IF(A55="","",C55+F55-I55)</f>
        <v/>
      </c>
      <c r="K55" s="9" t="n"/>
    </row>
    <row r="56">
      <c r="C56" s="6" t="n"/>
      <c r="F56" s="6">
        <f>IF(A56="","",SUMIFS(Depenses!$E:$E,Depenses!$B:$B,A56,Depenses!$F:$F,B56))</f>
        <v/>
      </c>
      <c r="G56" s="6">
        <f>IF(A56="","",SUMIFS(Depenses!$E:$E,Depenses!$B:$B,A56))</f>
        <v/>
      </c>
      <c r="H56">
        <f>IF(A56="","",COUNTIFS($A:$A,A56,$D:$D,1))</f>
        <v/>
      </c>
      <c r="I56" s="6">
        <f>IF(A56="","",IF(AND(D56=1,H56&gt;0),G56/H56,0))</f>
        <v/>
      </c>
      <c r="J56" s="6">
        <f>IF(A56="","",C56+F56-I56)</f>
        <v/>
      </c>
      <c r="K56" s="9" t="n"/>
    </row>
    <row r="57">
      <c r="C57" s="6" t="n"/>
      <c r="F57" s="6">
        <f>IF(A57="","",SUMIFS(Depenses!$E:$E,Depenses!$B:$B,A57,Depenses!$F:$F,B57))</f>
        <v/>
      </c>
      <c r="G57" s="6">
        <f>IF(A57="","",SUMIFS(Depenses!$E:$E,Depenses!$B:$B,A57))</f>
        <v/>
      </c>
      <c r="H57">
        <f>IF(A57="","",COUNTIFS($A:$A,A57,$D:$D,1))</f>
        <v/>
      </c>
      <c r="I57" s="6">
        <f>IF(A57="","",IF(AND(D57=1,H57&gt;0),G57/H57,0))</f>
        <v/>
      </c>
      <c r="J57" s="6">
        <f>IF(A57="","",C57+F57-I57)</f>
        <v/>
      </c>
      <c r="K57" s="9" t="n"/>
    </row>
    <row r="58">
      <c r="C58" s="6" t="n"/>
      <c r="F58" s="6">
        <f>IF(A58="","",SUMIFS(Depenses!$E:$E,Depenses!$B:$B,A58,Depenses!$F:$F,B58))</f>
        <v/>
      </c>
      <c r="G58" s="6">
        <f>IF(A58="","",SUMIFS(Depenses!$E:$E,Depenses!$B:$B,A58))</f>
        <v/>
      </c>
      <c r="H58">
        <f>IF(A58="","",COUNTIFS($A:$A,A58,$D:$D,1))</f>
        <v/>
      </c>
      <c r="I58" s="6">
        <f>IF(A58="","",IF(AND(D58=1,H58&gt;0),G58/H58,0))</f>
        <v/>
      </c>
      <c r="J58" s="6">
        <f>IF(A58="","",C58+F58-I58)</f>
        <v/>
      </c>
      <c r="K58" s="9" t="n"/>
    </row>
    <row r="59">
      <c r="C59" s="6" t="n"/>
      <c r="F59" s="6">
        <f>IF(A59="","",SUMIFS(Depenses!$E:$E,Depenses!$B:$B,A59,Depenses!$F:$F,B59))</f>
        <v/>
      </c>
      <c r="G59" s="6">
        <f>IF(A59="","",SUMIFS(Depenses!$E:$E,Depenses!$B:$B,A59))</f>
        <v/>
      </c>
      <c r="H59">
        <f>IF(A59="","",COUNTIFS($A:$A,A59,$D:$D,1))</f>
        <v/>
      </c>
      <c r="I59" s="6">
        <f>IF(A59="","",IF(AND(D59=1,H59&gt;0),G59/H59,0))</f>
        <v/>
      </c>
      <c r="J59" s="6">
        <f>IF(A59="","",C59+F59-I59)</f>
        <v/>
      </c>
      <c r="K59" s="9" t="n"/>
    </row>
    <row r="60">
      <c r="C60" s="6" t="n"/>
      <c r="F60" s="6">
        <f>IF(A60="","",SUMIFS(Depenses!$E:$E,Depenses!$B:$B,A60,Depenses!$F:$F,B60))</f>
        <v/>
      </c>
      <c r="G60" s="6">
        <f>IF(A60="","",SUMIFS(Depenses!$E:$E,Depenses!$B:$B,A60))</f>
        <v/>
      </c>
      <c r="H60">
        <f>IF(A60="","",COUNTIFS($A:$A,A60,$D:$D,1))</f>
        <v/>
      </c>
      <c r="I60" s="6">
        <f>IF(A60="","",IF(AND(D60=1,H60&gt;0),G60/H60,0))</f>
        <v/>
      </c>
      <c r="J60" s="6">
        <f>IF(A60="","",C60+F60-I60)</f>
        <v/>
      </c>
      <c r="K60" s="9" t="n"/>
    </row>
    <row r="61">
      <c r="C61" s="6" t="n"/>
      <c r="F61" s="6">
        <f>IF(A61="","",SUMIFS(Depenses!$E:$E,Depenses!$B:$B,A61,Depenses!$F:$F,B61))</f>
        <v/>
      </c>
      <c r="G61" s="6">
        <f>IF(A61="","",SUMIFS(Depenses!$E:$E,Depenses!$B:$B,A61))</f>
        <v/>
      </c>
      <c r="H61">
        <f>IF(A61="","",COUNTIFS($A:$A,A61,$D:$D,1))</f>
        <v/>
      </c>
      <c r="I61" s="6">
        <f>IF(A61="","",IF(AND(D61=1,H61&gt;0),G61/H61,0))</f>
        <v/>
      </c>
      <c r="J61" s="6">
        <f>IF(A61="","",C61+F61-I61)</f>
        <v/>
      </c>
      <c r="K61" s="9" t="n"/>
    </row>
    <row r="62">
      <c r="C62" s="6" t="n"/>
      <c r="F62" s="6">
        <f>IF(A62="","",SUMIFS(Depenses!$E:$E,Depenses!$B:$B,A62,Depenses!$F:$F,B62))</f>
        <v/>
      </c>
      <c r="G62" s="6">
        <f>IF(A62="","",SUMIFS(Depenses!$E:$E,Depenses!$B:$B,A62))</f>
        <v/>
      </c>
      <c r="H62">
        <f>IF(A62="","",COUNTIFS($A:$A,A62,$D:$D,1))</f>
        <v/>
      </c>
      <c r="I62" s="6">
        <f>IF(A62="","",IF(AND(D62=1,H62&gt;0),G62/H62,0))</f>
        <v/>
      </c>
      <c r="J62" s="6">
        <f>IF(A62="","",C62+F62-I62)</f>
        <v/>
      </c>
      <c r="K62" s="9" t="n"/>
    </row>
    <row r="63">
      <c r="C63" s="6" t="n"/>
      <c r="F63" s="6">
        <f>IF(A63="","",SUMIFS(Depenses!$E:$E,Depenses!$B:$B,A63,Depenses!$F:$F,B63))</f>
        <v/>
      </c>
      <c r="G63" s="6">
        <f>IF(A63="","",SUMIFS(Depenses!$E:$E,Depenses!$B:$B,A63))</f>
        <v/>
      </c>
      <c r="H63">
        <f>IF(A63="","",COUNTIFS($A:$A,A63,$D:$D,1))</f>
        <v/>
      </c>
      <c r="I63" s="6">
        <f>IF(A63="","",IF(AND(D63=1,H63&gt;0),G63/H63,0))</f>
        <v/>
      </c>
      <c r="J63" s="6">
        <f>IF(A63="","",C63+F63-I63)</f>
        <v/>
      </c>
      <c r="K63" s="9" t="n"/>
    </row>
    <row r="64">
      <c r="C64" s="6" t="n"/>
      <c r="F64" s="6">
        <f>IF(A64="","",SUMIFS(Depenses!$E:$E,Depenses!$B:$B,A64,Depenses!$F:$F,B64))</f>
        <v/>
      </c>
      <c r="G64" s="6">
        <f>IF(A64="","",SUMIFS(Depenses!$E:$E,Depenses!$B:$B,A64))</f>
        <v/>
      </c>
      <c r="H64">
        <f>IF(A64="","",COUNTIFS($A:$A,A64,$D:$D,1))</f>
        <v/>
      </c>
      <c r="I64" s="6">
        <f>IF(A64="","",IF(AND(D64=1,H64&gt;0),G64/H64,0))</f>
        <v/>
      </c>
      <c r="J64" s="6">
        <f>IF(A64="","",C64+F64-I64)</f>
        <v/>
      </c>
      <c r="K64" s="9" t="n"/>
    </row>
    <row r="65">
      <c r="C65" s="6" t="n"/>
      <c r="F65" s="6">
        <f>IF(A65="","",SUMIFS(Depenses!$E:$E,Depenses!$B:$B,A65,Depenses!$F:$F,B65))</f>
        <v/>
      </c>
      <c r="G65" s="6">
        <f>IF(A65="","",SUMIFS(Depenses!$E:$E,Depenses!$B:$B,A65))</f>
        <v/>
      </c>
      <c r="H65">
        <f>IF(A65="","",COUNTIFS($A:$A,A65,$D:$D,1))</f>
        <v/>
      </c>
      <c r="I65" s="6">
        <f>IF(A65="","",IF(AND(D65=1,H65&gt;0),G65/H65,0))</f>
        <v/>
      </c>
      <c r="J65" s="6">
        <f>IF(A65="","",C65+F65-I65)</f>
        <v/>
      </c>
      <c r="K65" s="9" t="n"/>
    </row>
    <row r="66">
      <c r="C66" s="6" t="n"/>
      <c r="F66" s="6">
        <f>IF(A66="","",SUMIFS(Depenses!$E:$E,Depenses!$B:$B,A66,Depenses!$F:$F,B66))</f>
        <v/>
      </c>
      <c r="G66" s="6">
        <f>IF(A66="","",SUMIFS(Depenses!$E:$E,Depenses!$B:$B,A66))</f>
        <v/>
      </c>
      <c r="H66">
        <f>IF(A66="","",COUNTIFS($A:$A,A66,$D:$D,1))</f>
        <v/>
      </c>
      <c r="I66" s="6">
        <f>IF(A66="","",IF(AND(D66=1,H66&gt;0),G66/H66,0))</f>
        <v/>
      </c>
      <c r="J66" s="6">
        <f>IF(A66="","",C66+F66-I66)</f>
        <v/>
      </c>
      <c r="K66" s="9" t="n"/>
    </row>
    <row r="67">
      <c r="C67" s="6" t="n"/>
      <c r="F67" s="6">
        <f>IF(A67="","",SUMIFS(Depenses!$E:$E,Depenses!$B:$B,A67,Depenses!$F:$F,B67))</f>
        <v/>
      </c>
      <c r="G67" s="6">
        <f>IF(A67="","",SUMIFS(Depenses!$E:$E,Depenses!$B:$B,A67))</f>
        <v/>
      </c>
      <c r="H67">
        <f>IF(A67="","",COUNTIFS($A:$A,A67,$D:$D,1))</f>
        <v/>
      </c>
      <c r="I67" s="6">
        <f>IF(A67="","",IF(AND(D67=1,H67&gt;0),G67/H67,0))</f>
        <v/>
      </c>
      <c r="J67" s="6">
        <f>IF(A67="","",C67+F67-I67)</f>
        <v/>
      </c>
      <c r="K67" s="9" t="n"/>
    </row>
    <row r="68">
      <c r="C68" s="6" t="n"/>
      <c r="F68" s="6">
        <f>IF(A68="","",SUMIFS(Depenses!$E:$E,Depenses!$B:$B,A68,Depenses!$F:$F,B68))</f>
        <v/>
      </c>
      <c r="G68" s="6">
        <f>IF(A68="","",SUMIFS(Depenses!$E:$E,Depenses!$B:$B,A68))</f>
        <v/>
      </c>
      <c r="H68">
        <f>IF(A68="","",COUNTIFS($A:$A,A68,$D:$D,1))</f>
        <v/>
      </c>
      <c r="I68" s="6">
        <f>IF(A68="","",IF(AND(D68=1,H68&gt;0),G68/H68,0))</f>
        <v/>
      </c>
      <c r="J68" s="6">
        <f>IF(A68="","",C68+F68-I68)</f>
        <v/>
      </c>
      <c r="K68" s="9" t="n"/>
    </row>
    <row r="69">
      <c r="C69" s="6" t="n"/>
      <c r="F69" s="6">
        <f>IF(A69="","",SUMIFS(Depenses!$E:$E,Depenses!$B:$B,A69,Depenses!$F:$F,B69))</f>
        <v/>
      </c>
      <c r="G69" s="6">
        <f>IF(A69="","",SUMIFS(Depenses!$E:$E,Depenses!$B:$B,A69))</f>
        <v/>
      </c>
      <c r="H69">
        <f>IF(A69="","",COUNTIFS($A:$A,A69,$D:$D,1))</f>
        <v/>
      </c>
      <c r="I69" s="6">
        <f>IF(A69="","",IF(AND(D69=1,H69&gt;0),G69/H69,0))</f>
        <v/>
      </c>
      <c r="J69" s="6">
        <f>IF(A69="","",C69+F69-I69)</f>
        <v/>
      </c>
      <c r="K69" s="9" t="n"/>
    </row>
    <row r="70">
      <c r="C70" s="6" t="n"/>
      <c r="F70" s="6">
        <f>IF(A70="","",SUMIFS(Depenses!$E:$E,Depenses!$B:$B,A70,Depenses!$F:$F,B70))</f>
        <v/>
      </c>
      <c r="G70" s="6">
        <f>IF(A70="","",SUMIFS(Depenses!$E:$E,Depenses!$B:$B,A70))</f>
        <v/>
      </c>
      <c r="H70">
        <f>IF(A70="","",COUNTIFS($A:$A,A70,$D:$D,1))</f>
        <v/>
      </c>
      <c r="I70" s="6">
        <f>IF(A70="","",IF(AND(D70=1,H70&gt;0),G70/H70,0))</f>
        <v/>
      </c>
      <c r="J70" s="6">
        <f>IF(A70="","",C70+F70-I70)</f>
        <v/>
      </c>
      <c r="K70" s="9" t="n"/>
    </row>
    <row r="71">
      <c r="C71" s="6" t="n"/>
      <c r="F71" s="6">
        <f>IF(A71="","",SUMIFS(Depenses!$E:$E,Depenses!$B:$B,A71,Depenses!$F:$F,B71))</f>
        <v/>
      </c>
      <c r="G71" s="6">
        <f>IF(A71="","",SUMIFS(Depenses!$E:$E,Depenses!$B:$B,A71))</f>
        <v/>
      </c>
      <c r="H71">
        <f>IF(A71="","",COUNTIFS($A:$A,A71,$D:$D,1))</f>
        <v/>
      </c>
      <c r="I71" s="6">
        <f>IF(A71="","",IF(AND(D71=1,H71&gt;0),G71/H71,0))</f>
        <v/>
      </c>
      <c r="J71" s="6">
        <f>IF(A71="","",C71+F71-I71)</f>
        <v/>
      </c>
      <c r="K71" s="9" t="n"/>
    </row>
    <row r="72">
      <c r="C72" s="6" t="n"/>
      <c r="F72" s="6">
        <f>IF(A72="","",SUMIFS(Depenses!$E:$E,Depenses!$B:$B,A72,Depenses!$F:$F,B72))</f>
        <v/>
      </c>
      <c r="G72" s="6">
        <f>IF(A72="","",SUMIFS(Depenses!$E:$E,Depenses!$B:$B,A72))</f>
        <v/>
      </c>
      <c r="H72">
        <f>IF(A72="","",COUNTIFS($A:$A,A72,$D:$D,1))</f>
        <v/>
      </c>
      <c r="I72" s="6">
        <f>IF(A72="","",IF(AND(D72=1,H72&gt;0),G72/H72,0))</f>
        <v/>
      </c>
      <c r="J72" s="6">
        <f>IF(A72="","",C72+F72-I72)</f>
        <v/>
      </c>
      <c r="K72" s="9" t="n"/>
    </row>
    <row r="73">
      <c r="C73" s="6" t="n"/>
      <c r="F73" s="6">
        <f>IF(A73="","",SUMIFS(Depenses!$E:$E,Depenses!$B:$B,A73,Depenses!$F:$F,B73))</f>
        <v/>
      </c>
      <c r="G73" s="6">
        <f>IF(A73="","",SUMIFS(Depenses!$E:$E,Depenses!$B:$B,A73))</f>
        <v/>
      </c>
      <c r="H73">
        <f>IF(A73="","",COUNTIFS($A:$A,A73,$D:$D,1))</f>
        <v/>
      </c>
      <c r="I73" s="6">
        <f>IF(A73="","",IF(AND(D73=1,H73&gt;0),G73/H73,0))</f>
        <v/>
      </c>
      <c r="J73" s="6">
        <f>IF(A73="","",C73+F73-I73)</f>
        <v/>
      </c>
      <c r="K73" s="9" t="n"/>
    </row>
    <row r="74">
      <c r="C74" s="6" t="n"/>
      <c r="F74" s="6">
        <f>IF(A74="","",SUMIFS(Depenses!$E:$E,Depenses!$B:$B,A74,Depenses!$F:$F,B74))</f>
        <v/>
      </c>
      <c r="G74" s="6">
        <f>IF(A74="","",SUMIFS(Depenses!$E:$E,Depenses!$B:$B,A74))</f>
        <v/>
      </c>
      <c r="H74">
        <f>IF(A74="","",COUNTIFS($A:$A,A74,$D:$D,1))</f>
        <v/>
      </c>
      <c r="I74" s="6">
        <f>IF(A74="","",IF(AND(D74=1,H74&gt;0),G74/H74,0))</f>
        <v/>
      </c>
      <c r="J74" s="6">
        <f>IF(A74="","",C74+F74-I74)</f>
        <v/>
      </c>
      <c r="K74" s="9" t="n"/>
    </row>
    <row r="75">
      <c r="C75" s="6" t="n"/>
      <c r="F75" s="6">
        <f>IF(A75="","",SUMIFS(Depenses!$E:$E,Depenses!$B:$B,A75,Depenses!$F:$F,B75))</f>
        <v/>
      </c>
      <c r="G75" s="6">
        <f>IF(A75="","",SUMIFS(Depenses!$E:$E,Depenses!$B:$B,A75))</f>
        <v/>
      </c>
      <c r="H75">
        <f>IF(A75="","",COUNTIFS($A:$A,A75,$D:$D,1))</f>
        <v/>
      </c>
      <c r="I75" s="6">
        <f>IF(A75="","",IF(AND(D75=1,H75&gt;0),G75/H75,0))</f>
        <v/>
      </c>
      <c r="J75" s="6">
        <f>IF(A75="","",C75+F75-I75)</f>
        <v/>
      </c>
      <c r="K75" s="9" t="n"/>
    </row>
    <row r="76">
      <c r="C76" s="6" t="n"/>
      <c r="F76" s="6">
        <f>IF(A76="","",SUMIFS(Depenses!$E:$E,Depenses!$B:$B,A76,Depenses!$F:$F,B76))</f>
        <v/>
      </c>
      <c r="G76" s="6">
        <f>IF(A76="","",SUMIFS(Depenses!$E:$E,Depenses!$B:$B,A76))</f>
        <v/>
      </c>
      <c r="H76">
        <f>IF(A76="","",COUNTIFS($A:$A,A76,$D:$D,1))</f>
        <v/>
      </c>
      <c r="I76" s="6">
        <f>IF(A76="","",IF(AND(D76=1,H76&gt;0),G76/H76,0))</f>
        <v/>
      </c>
      <c r="J76" s="6">
        <f>IF(A76="","",C76+F76-I76)</f>
        <v/>
      </c>
      <c r="K76" s="9" t="n"/>
    </row>
    <row r="77">
      <c r="C77" s="6" t="n"/>
      <c r="F77" s="6">
        <f>IF(A77="","",SUMIFS(Depenses!$E:$E,Depenses!$B:$B,A77,Depenses!$F:$F,B77))</f>
        <v/>
      </c>
      <c r="G77" s="6">
        <f>IF(A77="","",SUMIFS(Depenses!$E:$E,Depenses!$B:$B,A77))</f>
        <v/>
      </c>
      <c r="H77">
        <f>IF(A77="","",COUNTIFS($A:$A,A77,$D:$D,1))</f>
        <v/>
      </c>
      <c r="I77" s="6">
        <f>IF(A77="","",IF(AND(D77=1,H77&gt;0),G77/H77,0))</f>
        <v/>
      </c>
      <c r="J77" s="6">
        <f>IF(A77="","",C77+F77-I77)</f>
        <v/>
      </c>
      <c r="K77" s="9" t="n"/>
    </row>
    <row r="78">
      <c r="C78" s="6" t="n"/>
      <c r="F78" s="6">
        <f>IF(A78="","",SUMIFS(Depenses!$E:$E,Depenses!$B:$B,A78,Depenses!$F:$F,B78))</f>
        <v/>
      </c>
      <c r="G78" s="6">
        <f>IF(A78="","",SUMIFS(Depenses!$E:$E,Depenses!$B:$B,A78))</f>
        <v/>
      </c>
      <c r="H78">
        <f>IF(A78="","",COUNTIFS($A:$A,A78,$D:$D,1))</f>
        <v/>
      </c>
      <c r="I78" s="6">
        <f>IF(A78="","",IF(AND(D78=1,H78&gt;0),G78/H78,0))</f>
        <v/>
      </c>
      <c r="J78" s="6">
        <f>IF(A78="","",C78+F78-I78)</f>
        <v/>
      </c>
      <c r="K78" s="9" t="n"/>
    </row>
    <row r="79">
      <c r="C79" s="6" t="n"/>
      <c r="F79" s="6">
        <f>IF(A79="","",SUMIFS(Depenses!$E:$E,Depenses!$B:$B,A79,Depenses!$F:$F,B79))</f>
        <v/>
      </c>
      <c r="G79" s="6">
        <f>IF(A79="","",SUMIFS(Depenses!$E:$E,Depenses!$B:$B,A79))</f>
        <v/>
      </c>
      <c r="H79">
        <f>IF(A79="","",COUNTIFS($A:$A,A79,$D:$D,1))</f>
        <v/>
      </c>
      <c r="I79" s="6">
        <f>IF(A79="","",IF(AND(D79=1,H79&gt;0),G79/H79,0))</f>
        <v/>
      </c>
      <c r="J79" s="6">
        <f>IF(A79="","",C79+F79-I79)</f>
        <v/>
      </c>
      <c r="K79" s="9" t="n"/>
    </row>
    <row r="80">
      <c r="C80" s="6" t="n"/>
      <c r="F80" s="6">
        <f>IF(A80="","",SUMIFS(Depenses!$E:$E,Depenses!$B:$B,A80,Depenses!$F:$F,B80))</f>
        <v/>
      </c>
      <c r="G80" s="6">
        <f>IF(A80="","",SUMIFS(Depenses!$E:$E,Depenses!$B:$B,A80))</f>
        <v/>
      </c>
      <c r="H80">
        <f>IF(A80="","",COUNTIFS($A:$A,A80,$D:$D,1))</f>
        <v/>
      </c>
      <c r="I80" s="6">
        <f>IF(A80="","",IF(AND(D80=1,H80&gt;0),G80/H80,0))</f>
        <v/>
      </c>
      <c r="J80" s="6">
        <f>IF(A80="","",C80+F80-I80)</f>
        <v/>
      </c>
      <c r="K80" s="9" t="n"/>
    </row>
    <row r="81">
      <c r="C81" s="6" t="n"/>
      <c r="F81" s="6">
        <f>IF(A81="","",SUMIFS(Depenses!$E:$E,Depenses!$B:$B,A81,Depenses!$F:$F,B81))</f>
        <v/>
      </c>
      <c r="G81" s="6">
        <f>IF(A81="","",SUMIFS(Depenses!$E:$E,Depenses!$B:$B,A81))</f>
        <v/>
      </c>
      <c r="H81">
        <f>IF(A81="","",COUNTIFS($A:$A,A81,$D:$D,1))</f>
        <v/>
      </c>
      <c r="I81" s="6">
        <f>IF(A81="","",IF(AND(D81=1,H81&gt;0),G81/H81,0))</f>
        <v/>
      </c>
      <c r="J81" s="6">
        <f>IF(A81="","",C81+F81-I81)</f>
        <v/>
      </c>
      <c r="K81" s="9" t="n"/>
    </row>
    <row r="82">
      <c r="C82" s="6" t="n"/>
      <c r="F82" s="6">
        <f>IF(A82="","",SUMIFS(Depenses!$E:$E,Depenses!$B:$B,A82,Depenses!$F:$F,B82))</f>
        <v/>
      </c>
      <c r="G82" s="6">
        <f>IF(A82="","",SUMIFS(Depenses!$E:$E,Depenses!$B:$B,A82))</f>
        <v/>
      </c>
      <c r="H82">
        <f>IF(A82="","",COUNTIFS($A:$A,A82,$D:$D,1))</f>
        <v/>
      </c>
      <c r="I82" s="6">
        <f>IF(A82="","",IF(AND(D82=1,H82&gt;0),G82/H82,0))</f>
        <v/>
      </c>
      <c r="J82" s="6">
        <f>IF(A82="","",C82+F82-I82)</f>
        <v/>
      </c>
      <c r="K82" s="9" t="n"/>
    </row>
    <row r="83">
      <c r="C83" s="6" t="n"/>
      <c r="F83" s="6">
        <f>IF(A83="","",SUMIFS(Depenses!$E:$E,Depenses!$B:$B,A83,Depenses!$F:$F,B83))</f>
        <v/>
      </c>
      <c r="G83" s="6">
        <f>IF(A83="","",SUMIFS(Depenses!$E:$E,Depenses!$B:$B,A83))</f>
        <v/>
      </c>
      <c r="H83">
        <f>IF(A83="","",COUNTIFS($A:$A,A83,$D:$D,1))</f>
        <v/>
      </c>
      <c r="I83" s="6">
        <f>IF(A83="","",IF(AND(D83=1,H83&gt;0),G83/H83,0))</f>
        <v/>
      </c>
      <c r="J83" s="6">
        <f>IF(A83="","",C83+F83-I83)</f>
        <v/>
      </c>
      <c r="K83" s="9" t="n"/>
    </row>
    <row r="84">
      <c r="C84" s="6" t="n"/>
      <c r="F84" s="6">
        <f>IF(A84="","",SUMIFS(Depenses!$E:$E,Depenses!$B:$B,A84,Depenses!$F:$F,B84))</f>
        <v/>
      </c>
      <c r="G84" s="6">
        <f>IF(A84="","",SUMIFS(Depenses!$E:$E,Depenses!$B:$B,A84))</f>
        <v/>
      </c>
      <c r="H84">
        <f>IF(A84="","",COUNTIFS($A:$A,A84,$D:$D,1))</f>
        <v/>
      </c>
      <c r="I84" s="6">
        <f>IF(A84="","",IF(AND(D84=1,H84&gt;0),G84/H84,0))</f>
        <v/>
      </c>
      <c r="J84" s="6">
        <f>IF(A84="","",C84+F84-I84)</f>
        <v/>
      </c>
      <c r="K84" s="9" t="n"/>
    </row>
    <row r="85">
      <c r="C85" s="6" t="n"/>
      <c r="F85" s="6">
        <f>IF(A85="","",SUMIFS(Depenses!$E:$E,Depenses!$B:$B,A85,Depenses!$F:$F,B85))</f>
        <v/>
      </c>
      <c r="G85" s="6">
        <f>IF(A85="","",SUMIFS(Depenses!$E:$E,Depenses!$B:$B,A85))</f>
        <v/>
      </c>
      <c r="H85">
        <f>IF(A85="","",COUNTIFS($A:$A,A85,$D:$D,1))</f>
        <v/>
      </c>
      <c r="I85" s="6">
        <f>IF(A85="","",IF(AND(D85=1,H85&gt;0),G85/H85,0))</f>
        <v/>
      </c>
      <c r="J85" s="6">
        <f>IF(A85="","",C85+F85-I85)</f>
        <v/>
      </c>
      <c r="K85" s="9" t="n"/>
    </row>
    <row r="86">
      <c r="C86" s="6" t="n"/>
      <c r="F86" s="6">
        <f>IF(A86="","",SUMIFS(Depenses!$E:$E,Depenses!$B:$B,A86,Depenses!$F:$F,B86))</f>
        <v/>
      </c>
      <c r="G86" s="6">
        <f>IF(A86="","",SUMIFS(Depenses!$E:$E,Depenses!$B:$B,A86))</f>
        <v/>
      </c>
      <c r="H86">
        <f>IF(A86="","",COUNTIFS($A:$A,A86,$D:$D,1))</f>
        <v/>
      </c>
      <c r="I86" s="6">
        <f>IF(A86="","",IF(AND(D86=1,H86&gt;0),G86/H86,0))</f>
        <v/>
      </c>
      <c r="J86" s="6">
        <f>IF(A86="","",C86+F86-I86)</f>
        <v/>
      </c>
      <c r="K86" s="9" t="n"/>
    </row>
    <row r="87">
      <c r="C87" s="6" t="n"/>
      <c r="F87" s="6">
        <f>IF(A87="","",SUMIFS(Depenses!$E:$E,Depenses!$B:$B,A87,Depenses!$F:$F,B87))</f>
        <v/>
      </c>
      <c r="G87" s="6">
        <f>IF(A87="","",SUMIFS(Depenses!$E:$E,Depenses!$B:$B,A87))</f>
        <v/>
      </c>
      <c r="H87">
        <f>IF(A87="","",COUNTIFS($A:$A,A87,$D:$D,1))</f>
        <v/>
      </c>
      <c r="I87" s="6">
        <f>IF(A87="","",IF(AND(D87=1,H87&gt;0),G87/H87,0))</f>
        <v/>
      </c>
      <c r="J87" s="6">
        <f>IF(A87="","",C87+F87-I87)</f>
        <v/>
      </c>
      <c r="K87" s="9" t="n"/>
    </row>
    <row r="88">
      <c r="C88" s="6" t="n"/>
      <c r="F88" s="6">
        <f>IF(A88="","",SUMIFS(Depenses!$E:$E,Depenses!$B:$B,A88,Depenses!$F:$F,B88))</f>
        <v/>
      </c>
      <c r="G88" s="6">
        <f>IF(A88="","",SUMIFS(Depenses!$E:$E,Depenses!$B:$B,A88))</f>
        <v/>
      </c>
      <c r="H88">
        <f>IF(A88="","",COUNTIFS($A:$A,A88,$D:$D,1))</f>
        <v/>
      </c>
      <c r="I88" s="6">
        <f>IF(A88="","",IF(AND(D88=1,H88&gt;0),G88/H88,0))</f>
        <v/>
      </c>
      <c r="J88" s="6">
        <f>IF(A88="","",C88+F88-I88)</f>
        <v/>
      </c>
      <c r="K88" s="9" t="n"/>
    </row>
    <row r="89">
      <c r="C89" s="6" t="n"/>
      <c r="F89" s="6">
        <f>IF(A89="","",SUMIFS(Depenses!$E:$E,Depenses!$B:$B,A89,Depenses!$F:$F,B89))</f>
        <v/>
      </c>
      <c r="G89" s="6">
        <f>IF(A89="","",SUMIFS(Depenses!$E:$E,Depenses!$B:$B,A89))</f>
        <v/>
      </c>
      <c r="H89">
        <f>IF(A89="","",COUNTIFS($A:$A,A89,$D:$D,1))</f>
        <v/>
      </c>
      <c r="I89" s="6">
        <f>IF(A89="","",IF(AND(D89=1,H89&gt;0),G89/H89,0))</f>
        <v/>
      </c>
      <c r="J89" s="6">
        <f>IF(A89="","",C89+F89-I89)</f>
        <v/>
      </c>
      <c r="K89" s="9" t="n"/>
    </row>
    <row r="90">
      <c r="C90" s="6" t="n"/>
      <c r="F90" s="6">
        <f>IF(A90="","",SUMIFS(Depenses!$E:$E,Depenses!$B:$B,A90,Depenses!$F:$F,B90))</f>
        <v/>
      </c>
      <c r="G90" s="6">
        <f>IF(A90="","",SUMIFS(Depenses!$E:$E,Depenses!$B:$B,A90))</f>
        <v/>
      </c>
      <c r="H90">
        <f>IF(A90="","",COUNTIFS($A:$A,A90,$D:$D,1))</f>
        <v/>
      </c>
      <c r="I90" s="6">
        <f>IF(A90="","",IF(AND(D90=1,H90&gt;0),G90/H90,0))</f>
        <v/>
      </c>
      <c r="J90" s="6">
        <f>IF(A90="","",C90+F90-I90)</f>
        <v/>
      </c>
      <c r="K90" s="9" t="n"/>
    </row>
    <row r="91">
      <c r="C91" s="6" t="n"/>
      <c r="F91" s="6">
        <f>IF(A91="","",SUMIFS(Depenses!$E:$E,Depenses!$B:$B,A91,Depenses!$F:$F,B91))</f>
        <v/>
      </c>
      <c r="G91" s="6">
        <f>IF(A91="","",SUMIFS(Depenses!$E:$E,Depenses!$B:$B,A91))</f>
        <v/>
      </c>
      <c r="H91">
        <f>IF(A91="","",COUNTIFS($A:$A,A91,$D:$D,1))</f>
        <v/>
      </c>
      <c r="I91" s="6">
        <f>IF(A91="","",IF(AND(D91=1,H91&gt;0),G91/H91,0))</f>
        <v/>
      </c>
      <c r="J91" s="6">
        <f>IF(A91="","",C91+F91-I91)</f>
        <v/>
      </c>
      <c r="K91" s="9" t="n"/>
    </row>
    <row r="92">
      <c r="C92" s="6" t="n"/>
      <c r="F92" s="6">
        <f>IF(A92="","",SUMIFS(Depenses!$E:$E,Depenses!$B:$B,A92,Depenses!$F:$F,B92))</f>
        <v/>
      </c>
      <c r="G92" s="6">
        <f>IF(A92="","",SUMIFS(Depenses!$E:$E,Depenses!$B:$B,A92))</f>
        <v/>
      </c>
      <c r="H92">
        <f>IF(A92="","",COUNTIFS($A:$A,A92,$D:$D,1))</f>
        <v/>
      </c>
      <c r="I92" s="6">
        <f>IF(A92="","",IF(AND(D92=1,H92&gt;0),G92/H92,0))</f>
        <v/>
      </c>
      <c r="J92" s="6">
        <f>IF(A92="","",C92+F92-I92)</f>
        <v/>
      </c>
      <c r="K92" s="9" t="n"/>
    </row>
    <row r="93">
      <c r="C93" s="6" t="n"/>
      <c r="F93" s="6">
        <f>IF(A93="","",SUMIFS(Depenses!$E:$E,Depenses!$B:$B,A93,Depenses!$F:$F,B93))</f>
        <v/>
      </c>
      <c r="G93" s="6">
        <f>IF(A93="","",SUMIFS(Depenses!$E:$E,Depenses!$B:$B,A93))</f>
        <v/>
      </c>
      <c r="H93">
        <f>IF(A93="","",COUNTIFS($A:$A,A93,$D:$D,1))</f>
        <v/>
      </c>
      <c r="I93" s="6">
        <f>IF(A93="","",IF(AND(D93=1,H93&gt;0),G93/H93,0))</f>
        <v/>
      </c>
      <c r="J93" s="6">
        <f>IF(A93="","",C93+F93-I93)</f>
        <v/>
      </c>
      <c r="K93" s="9" t="n"/>
    </row>
    <row r="94">
      <c r="C94" s="6" t="n"/>
      <c r="F94" s="6">
        <f>IF(A94="","",SUMIFS(Depenses!$E:$E,Depenses!$B:$B,A94,Depenses!$F:$F,B94))</f>
        <v/>
      </c>
      <c r="G94" s="6">
        <f>IF(A94="","",SUMIFS(Depenses!$E:$E,Depenses!$B:$B,A94))</f>
        <v/>
      </c>
      <c r="H94">
        <f>IF(A94="","",COUNTIFS($A:$A,A94,$D:$D,1))</f>
        <v/>
      </c>
      <c r="I94" s="6">
        <f>IF(A94="","",IF(AND(D94=1,H94&gt;0),G94/H94,0))</f>
        <v/>
      </c>
      <c r="J94" s="6">
        <f>IF(A94="","",C94+F94-I94)</f>
        <v/>
      </c>
      <c r="K94" s="9" t="n"/>
    </row>
    <row r="95">
      <c r="C95" s="6" t="n"/>
      <c r="F95" s="6">
        <f>IF(A95="","",SUMIFS(Depenses!$E:$E,Depenses!$B:$B,A95,Depenses!$F:$F,B95))</f>
        <v/>
      </c>
      <c r="G95" s="6">
        <f>IF(A95="","",SUMIFS(Depenses!$E:$E,Depenses!$B:$B,A95))</f>
        <v/>
      </c>
      <c r="H95">
        <f>IF(A95="","",COUNTIFS($A:$A,A95,$D:$D,1))</f>
        <v/>
      </c>
      <c r="I95" s="6">
        <f>IF(A95="","",IF(AND(D95=1,H95&gt;0),G95/H95,0))</f>
        <v/>
      </c>
      <c r="J95" s="6">
        <f>IF(A95="","",C95+F95-I95)</f>
        <v/>
      </c>
      <c r="K95" s="9" t="n"/>
    </row>
    <row r="96">
      <c r="C96" s="6" t="n"/>
      <c r="F96" s="6">
        <f>IF(A96="","",SUMIFS(Depenses!$E:$E,Depenses!$B:$B,A96,Depenses!$F:$F,B96))</f>
        <v/>
      </c>
      <c r="G96" s="6">
        <f>IF(A96="","",SUMIFS(Depenses!$E:$E,Depenses!$B:$B,A96))</f>
        <v/>
      </c>
      <c r="H96">
        <f>IF(A96="","",COUNTIFS($A:$A,A96,$D:$D,1))</f>
        <v/>
      </c>
      <c r="I96" s="6">
        <f>IF(A96="","",IF(AND(D96=1,H96&gt;0),G96/H96,0))</f>
        <v/>
      </c>
      <c r="J96" s="6">
        <f>IF(A96="","",C96+F96-I96)</f>
        <v/>
      </c>
      <c r="K96" s="9" t="n"/>
    </row>
    <row r="97">
      <c r="C97" s="6" t="n"/>
      <c r="F97" s="6">
        <f>IF(A97="","",SUMIFS(Depenses!$E:$E,Depenses!$B:$B,A97,Depenses!$F:$F,B97))</f>
        <v/>
      </c>
      <c r="G97" s="6">
        <f>IF(A97="","",SUMIFS(Depenses!$E:$E,Depenses!$B:$B,A97))</f>
        <v/>
      </c>
      <c r="H97">
        <f>IF(A97="","",COUNTIFS($A:$A,A97,$D:$D,1))</f>
        <v/>
      </c>
      <c r="I97" s="6">
        <f>IF(A97="","",IF(AND(D97=1,H97&gt;0),G97/H97,0))</f>
        <v/>
      </c>
      <c r="J97" s="6">
        <f>IF(A97="","",C97+F97-I97)</f>
        <v/>
      </c>
      <c r="K97" s="9" t="n"/>
    </row>
    <row r="98">
      <c r="C98" s="6" t="n"/>
      <c r="F98" s="6">
        <f>IF(A98="","",SUMIFS(Depenses!$E:$E,Depenses!$B:$B,A98,Depenses!$F:$F,B98))</f>
        <v/>
      </c>
      <c r="G98" s="6">
        <f>IF(A98="","",SUMIFS(Depenses!$E:$E,Depenses!$B:$B,A98))</f>
        <v/>
      </c>
      <c r="H98">
        <f>IF(A98="","",COUNTIFS($A:$A,A98,$D:$D,1))</f>
        <v/>
      </c>
      <c r="I98" s="6">
        <f>IF(A98="","",IF(AND(D98=1,H98&gt;0),G98/H98,0))</f>
        <v/>
      </c>
      <c r="J98" s="6">
        <f>IF(A98="","",C98+F98-I98)</f>
        <v/>
      </c>
      <c r="K98" s="9" t="n"/>
    </row>
    <row r="99">
      <c r="C99" s="6" t="n"/>
      <c r="F99" s="6">
        <f>IF(A99="","",SUMIFS(Depenses!$E:$E,Depenses!$B:$B,A99,Depenses!$F:$F,B99))</f>
        <v/>
      </c>
      <c r="G99" s="6">
        <f>IF(A99="","",SUMIFS(Depenses!$E:$E,Depenses!$B:$B,A99))</f>
        <v/>
      </c>
      <c r="H99">
        <f>IF(A99="","",COUNTIFS($A:$A,A99,$D:$D,1))</f>
        <v/>
      </c>
      <c r="I99" s="6">
        <f>IF(A99="","",IF(AND(D99=1,H99&gt;0),G99/H99,0))</f>
        <v/>
      </c>
      <c r="J99" s="6">
        <f>IF(A99="","",C99+F99-I99)</f>
        <v/>
      </c>
      <c r="K99" s="9" t="n"/>
    </row>
    <row r="100">
      <c r="C100" s="6" t="n"/>
      <c r="F100" s="6">
        <f>IF(A100="","",SUMIFS(Depenses!$E:$E,Depenses!$B:$B,A100,Depenses!$F:$F,B100))</f>
        <v/>
      </c>
      <c r="G100" s="6">
        <f>IF(A100="","",SUMIFS(Depenses!$E:$E,Depenses!$B:$B,A100))</f>
        <v/>
      </c>
      <c r="H100">
        <f>IF(A100="","",COUNTIFS($A:$A,A100,$D:$D,1))</f>
        <v/>
      </c>
      <c r="I100" s="6">
        <f>IF(A100="","",IF(AND(D100=1,H100&gt;0),G100/H100,0))</f>
        <v/>
      </c>
      <c r="J100" s="6">
        <f>IF(A100="","",C100+F100-I100)</f>
        <v/>
      </c>
      <c r="K100" s="9" t="n"/>
    </row>
    <row r="101">
      <c r="C101" s="6" t="n"/>
      <c r="F101" s="6">
        <f>IF(A101="","",SUMIFS(Depenses!$E:$E,Depenses!$B:$B,A101,Depenses!$F:$F,B101))</f>
        <v/>
      </c>
      <c r="G101" s="6">
        <f>IF(A101="","",SUMIFS(Depenses!$E:$E,Depenses!$B:$B,A101))</f>
        <v/>
      </c>
      <c r="H101">
        <f>IF(A101="","",COUNTIFS($A:$A,A101,$D:$D,1))</f>
        <v/>
      </c>
      <c r="I101" s="6">
        <f>IF(A101="","",IF(AND(D101=1,H101&gt;0),G101/H101,0))</f>
        <v/>
      </c>
      <c r="J101" s="6">
        <f>IF(A101="","",C101+F101-I101)</f>
        <v/>
      </c>
      <c r="K101" s="9" t="n"/>
    </row>
    <row r="102">
      <c r="C102" s="6" t="n"/>
      <c r="F102" s="6">
        <f>IF(A102="","",SUMIFS(Depenses!$E:$E,Depenses!$B:$B,A102,Depenses!$F:$F,B102))</f>
        <v/>
      </c>
      <c r="G102" s="6">
        <f>IF(A102="","",SUMIFS(Depenses!$E:$E,Depenses!$B:$B,A102))</f>
        <v/>
      </c>
      <c r="H102">
        <f>IF(A102="","",COUNTIFS($A:$A,A102,$D:$D,1))</f>
        <v/>
      </c>
      <c r="I102" s="6">
        <f>IF(A102="","",IF(AND(D102=1,H102&gt;0),G102/H102,0))</f>
        <v/>
      </c>
      <c r="J102" s="6">
        <f>IF(A102="","",C102+F102-I102)</f>
        <v/>
      </c>
      <c r="K102" s="9" t="n"/>
    </row>
    <row r="103">
      <c r="C103" s="6" t="n"/>
      <c r="F103" s="6">
        <f>IF(A103="","",SUMIFS(Depenses!$E:$E,Depenses!$B:$B,A103,Depenses!$F:$F,B103))</f>
        <v/>
      </c>
      <c r="G103" s="6">
        <f>IF(A103="","",SUMIFS(Depenses!$E:$E,Depenses!$B:$B,A103))</f>
        <v/>
      </c>
      <c r="H103">
        <f>IF(A103="","",COUNTIFS($A:$A,A103,$D:$D,1))</f>
        <v/>
      </c>
      <c r="I103" s="6">
        <f>IF(A103="","",IF(AND(D103=1,H103&gt;0),G103/H103,0))</f>
        <v/>
      </c>
      <c r="J103" s="6">
        <f>IF(A103="","",C103+F103-I103)</f>
        <v/>
      </c>
      <c r="K103" s="9" t="n"/>
    </row>
    <row r="104">
      <c r="C104" s="6" t="n"/>
      <c r="F104" s="6">
        <f>IF(A104="","",SUMIFS(Depenses!$E:$E,Depenses!$B:$B,A104,Depenses!$F:$F,B104))</f>
        <v/>
      </c>
      <c r="G104" s="6">
        <f>IF(A104="","",SUMIFS(Depenses!$E:$E,Depenses!$B:$B,A104))</f>
        <v/>
      </c>
      <c r="H104">
        <f>IF(A104="","",COUNTIFS($A:$A,A104,$D:$D,1))</f>
        <v/>
      </c>
      <c r="I104" s="6">
        <f>IF(A104="","",IF(AND(D104=1,H104&gt;0),G104/H104,0))</f>
        <v/>
      </c>
      <c r="J104" s="6">
        <f>IF(A104="","",C104+F104-I104)</f>
        <v/>
      </c>
      <c r="K104" s="9" t="n"/>
    </row>
    <row r="105">
      <c r="C105" s="6" t="n"/>
      <c r="F105" s="6">
        <f>IF(A105="","",SUMIFS(Depenses!$E:$E,Depenses!$B:$B,A105,Depenses!$F:$F,B105))</f>
        <v/>
      </c>
      <c r="G105" s="6">
        <f>IF(A105="","",SUMIFS(Depenses!$E:$E,Depenses!$B:$B,A105))</f>
        <v/>
      </c>
      <c r="H105">
        <f>IF(A105="","",COUNTIFS($A:$A,A105,$D:$D,1))</f>
        <v/>
      </c>
      <c r="I105" s="6">
        <f>IF(A105="","",IF(AND(D105=1,H105&gt;0),G105/H105,0))</f>
        <v/>
      </c>
      <c r="J105" s="6">
        <f>IF(A105="","",C105+F105-I105)</f>
        <v/>
      </c>
      <c r="K105" s="9" t="n"/>
    </row>
    <row r="106">
      <c r="C106" s="6" t="n"/>
      <c r="F106" s="6">
        <f>IF(A106="","",SUMIFS(Depenses!$E:$E,Depenses!$B:$B,A106,Depenses!$F:$F,B106))</f>
        <v/>
      </c>
      <c r="G106" s="6">
        <f>IF(A106="","",SUMIFS(Depenses!$E:$E,Depenses!$B:$B,A106))</f>
        <v/>
      </c>
      <c r="H106">
        <f>IF(A106="","",COUNTIFS($A:$A,A106,$D:$D,1))</f>
        <v/>
      </c>
      <c r="I106" s="6">
        <f>IF(A106="","",IF(AND(D106=1,H106&gt;0),G106/H106,0))</f>
        <v/>
      </c>
      <c r="J106" s="6">
        <f>IF(A106="","",C106+F106-I106)</f>
        <v/>
      </c>
      <c r="K106" s="9" t="n"/>
    </row>
    <row r="107">
      <c r="C107" s="6" t="n"/>
      <c r="F107" s="6">
        <f>IF(A107="","",SUMIFS(Depenses!$E:$E,Depenses!$B:$B,A107,Depenses!$F:$F,B107))</f>
        <v/>
      </c>
      <c r="G107" s="6">
        <f>IF(A107="","",SUMIFS(Depenses!$E:$E,Depenses!$B:$B,A107))</f>
        <v/>
      </c>
      <c r="H107">
        <f>IF(A107="","",COUNTIFS($A:$A,A107,$D:$D,1))</f>
        <v/>
      </c>
      <c r="I107" s="6">
        <f>IF(A107="","",IF(AND(D107=1,H107&gt;0),G107/H107,0))</f>
        <v/>
      </c>
      <c r="J107" s="6">
        <f>IF(A107="","",C107+F107-I107)</f>
        <v/>
      </c>
      <c r="K107" s="9" t="n"/>
    </row>
    <row r="108">
      <c r="C108" s="6" t="n"/>
      <c r="F108" s="6">
        <f>IF(A108="","",SUMIFS(Depenses!$E:$E,Depenses!$B:$B,A108,Depenses!$F:$F,B108))</f>
        <v/>
      </c>
      <c r="G108" s="6">
        <f>IF(A108="","",SUMIFS(Depenses!$E:$E,Depenses!$B:$B,A108))</f>
        <v/>
      </c>
      <c r="H108">
        <f>IF(A108="","",COUNTIFS($A:$A,A108,$D:$D,1))</f>
        <v/>
      </c>
      <c r="I108" s="6">
        <f>IF(A108="","",IF(AND(D108=1,H108&gt;0),G108/H108,0))</f>
        <v/>
      </c>
      <c r="J108" s="6">
        <f>IF(A108="","",C108+F108-I108)</f>
        <v/>
      </c>
      <c r="K108" s="9" t="n"/>
    </row>
    <row r="109">
      <c r="C109" s="6" t="n"/>
      <c r="F109" s="6">
        <f>IF(A109="","",SUMIFS(Depenses!$E:$E,Depenses!$B:$B,A109,Depenses!$F:$F,B109))</f>
        <v/>
      </c>
      <c r="G109" s="6">
        <f>IF(A109="","",SUMIFS(Depenses!$E:$E,Depenses!$B:$B,A109))</f>
        <v/>
      </c>
      <c r="H109">
        <f>IF(A109="","",COUNTIFS($A:$A,A109,$D:$D,1))</f>
        <v/>
      </c>
      <c r="I109" s="6">
        <f>IF(A109="","",IF(AND(D109=1,H109&gt;0),G109/H109,0))</f>
        <v/>
      </c>
      <c r="J109" s="6">
        <f>IF(A109="","",C109+F109-I109)</f>
        <v/>
      </c>
      <c r="K109" s="9" t="n"/>
    </row>
    <row r="110">
      <c r="C110" s="6" t="n"/>
      <c r="F110" s="6">
        <f>IF(A110="","",SUMIFS(Depenses!$E:$E,Depenses!$B:$B,A110,Depenses!$F:$F,B110))</f>
        <v/>
      </c>
      <c r="G110" s="6">
        <f>IF(A110="","",SUMIFS(Depenses!$E:$E,Depenses!$B:$B,A110))</f>
        <v/>
      </c>
      <c r="H110">
        <f>IF(A110="","",COUNTIFS($A:$A,A110,$D:$D,1))</f>
        <v/>
      </c>
      <c r="I110" s="6">
        <f>IF(A110="","",IF(AND(D110=1,H110&gt;0),G110/H110,0))</f>
        <v/>
      </c>
      <c r="J110" s="6">
        <f>IF(A110="","",C110+F110-I110)</f>
        <v/>
      </c>
      <c r="K110" s="9" t="n"/>
    </row>
    <row r="111">
      <c r="C111" s="6" t="n"/>
      <c r="F111" s="6">
        <f>IF(A111="","",SUMIFS(Depenses!$E:$E,Depenses!$B:$B,A111,Depenses!$F:$F,B111))</f>
        <v/>
      </c>
      <c r="G111" s="6">
        <f>IF(A111="","",SUMIFS(Depenses!$E:$E,Depenses!$B:$B,A111))</f>
        <v/>
      </c>
      <c r="H111">
        <f>IF(A111="","",COUNTIFS($A:$A,A111,$D:$D,1))</f>
        <v/>
      </c>
      <c r="I111" s="6">
        <f>IF(A111="","",IF(AND(D111=1,H111&gt;0),G111/H111,0))</f>
        <v/>
      </c>
      <c r="J111" s="6">
        <f>IF(A111="","",C111+F111-I111)</f>
        <v/>
      </c>
      <c r="K111" s="9" t="n"/>
    </row>
    <row r="112">
      <c r="C112" s="6" t="n"/>
      <c r="F112" s="6">
        <f>IF(A112="","",SUMIFS(Depenses!$E:$E,Depenses!$B:$B,A112,Depenses!$F:$F,B112))</f>
        <v/>
      </c>
      <c r="G112" s="6">
        <f>IF(A112="","",SUMIFS(Depenses!$E:$E,Depenses!$B:$B,A112))</f>
        <v/>
      </c>
      <c r="H112">
        <f>IF(A112="","",COUNTIFS($A:$A,A112,$D:$D,1))</f>
        <v/>
      </c>
      <c r="I112" s="6">
        <f>IF(A112="","",IF(AND(D112=1,H112&gt;0),G112/H112,0))</f>
        <v/>
      </c>
      <c r="J112" s="6">
        <f>IF(A112="","",C112+F112-I112)</f>
        <v/>
      </c>
      <c r="K112" s="9" t="n"/>
    </row>
    <row r="113">
      <c r="C113" s="6" t="n"/>
      <c r="F113" s="6">
        <f>IF(A113="","",SUMIFS(Depenses!$E:$E,Depenses!$B:$B,A113,Depenses!$F:$F,B113))</f>
        <v/>
      </c>
      <c r="G113" s="6">
        <f>IF(A113="","",SUMIFS(Depenses!$E:$E,Depenses!$B:$B,A113))</f>
        <v/>
      </c>
      <c r="H113">
        <f>IF(A113="","",COUNTIFS($A:$A,A113,$D:$D,1))</f>
        <v/>
      </c>
      <c r="I113" s="6">
        <f>IF(A113="","",IF(AND(D113=1,H113&gt;0),G113/H113,0))</f>
        <v/>
      </c>
      <c r="J113" s="6">
        <f>IF(A113="","",C113+F113-I113)</f>
        <v/>
      </c>
      <c r="K113" s="9" t="n"/>
    </row>
    <row r="114">
      <c r="C114" s="6" t="n"/>
      <c r="F114" s="6">
        <f>IF(A114="","",SUMIFS(Depenses!$E:$E,Depenses!$B:$B,A114,Depenses!$F:$F,B114))</f>
        <v/>
      </c>
      <c r="G114" s="6">
        <f>IF(A114="","",SUMIFS(Depenses!$E:$E,Depenses!$B:$B,A114))</f>
        <v/>
      </c>
      <c r="H114">
        <f>IF(A114="","",COUNTIFS($A:$A,A114,$D:$D,1))</f>
        <v/>
      </c>
      <c r="I114" s="6">
        <f>IF(A114="","",IF(AND(D114=1,H114&gt;0),G114/H114,0))</f>
        <v/>
      </c>
      <c r="J114" s="6">
        <f>IF(A114="","",C114+F114-I114)</f>
        <v/>
      </c>
      <c r="K114" s="9" t="n"/>
    </row>
    <row r="115">
      <c r="C115" s="6" t="n"/>
      <c r="F115" s="6">
        <f>IF(A115="","",SUMIFS(Depenses!$E:$E,Depenses!$B:$B,A115,Depenses!$F:$F,B115))</f>
        <v/>
      </c>
      <c r="G115" s="6">
        <f>IF(A115="","",SUMIFS(Depenses!$E:$E,Depenses!$B:$B,A115))</f>
        <v/>
      </c>
      <c r="H115">
        <f>IF(A115="","",COUNTIFS($A:$A,A115,$D:$D,1))</f>
        <v/>
      </c>
      <c r="I115" s="6">
        <f>IF(A115="","",IF(AND(D115=1,H115&gt;0),G115/H115,0))</f>
        <v/>
      </c>
      <c r="J115" s="6">
        <f>IF(A115="","",C115+F115-I115)</f>
        <v/>
      </c>
      <c r="K115" s="9" t="n"/>
    </row>
    <row r="116">
      <c r="C116" s="6" t="n"/>
      <c r="F116" s="6">
        <f>IF(A116="","",SUMIFS(Depenses!$E:$E,Depenses!$B:$B,A116,Depenses!$F:$F,B116))</f>
        <v/>
      </c>
      <c r="G116" s="6">
        <f>IF(A116="","",SUMIFS(Depenses!$E:$E,Depenses!$B:$B,A116))</f>
        <v/>
      </c>
      <c r="H116">
        <f>IF(A116="","",COUNTIFS($A:$A,A116,$D:$D,1))</f>
        <v/>
      </c>
      <c r="I116" s="6">
        <f>IF(A116="","",IF(AND(D116=1,H116&gt;0),G116/H116,0))</f>
        <v/>
      </c>
      <c r="J116" s="6">
        <f>IF(A116="","",C116+F116-I116)</f>
        <v/>
      </c>
      <c r="K116" s="9" t="n"/>
    </row>
    <row r="117">
      <c r="C117" s="6" t="n"/>
      <c r="F117" s="6">
        <f>IF(A117="","",SUMIFS(Depenses!$E:$E,Depenses!$B:$B,A117,Depenses!$F:$F,B117))</f>
        <v/>
      </c>
      <c r="G117" s="6">
        <f>IF(A117="","",SUMIFS(Depenses!$E:$E,Depenses!$B:$B,A117))</f>
        <v/>
      </c>
      <c r="H117">
        <f>IF(A117="","",COUNTIFS($A:$A,A117,$D:$D,1))</f>
        <v/>
      </c>
      <c r="I117" s="6">
        <f>IF(A117="","",IF(AND(D117=1,H117&gt;0),G117/H117,0))</f>
        <v/>
      </c>
      <c r="J117" s="6">
        <f>IF(A117="","",C117+F117-I117)</f>
        <v/>
      </c>
      <c r="K117" s="9" t="n"/>
    </row>
    <row r="118">
      <c r="C118" s="6" t="n"/>
      <c r="F118" s="6">
        <f>IF(A118="","",SUMIFS(Depenses!$E:$E,Depenses!$B:$B,A118,Depenses!$F:$F,B118))</f>
        <v/>
      </c>
      <c r="G118" s="6">
        <f>IF(A118="","",SUMIFS(Depenses!$E:$E,Depenses!$B:$B,A118))</f>
        <v/>
      </c>
      <c r="H118">
        <f>IF(A118="","",COUNTIFS($A:$A,A118,$D:$D,1))</f>
        <v/>
      </c>
      <c r="I118" s="6">
        <f>IF(A118="","",IF(AND(D118=1,H118&gt;0),G118/H118,0))</f>
        <v/>
      </c>
      <c r="J118" s="6">
        <f>IF(A118="","",C118+F118-I118)</f>
        <v/>
      </c>
      <c r="K118" s="9" t="n"/>
    </row>
    <row r="119">
      <c r="C119" s="6" t="n"/>
      <c r="F119" s="6">
        <f>IF(A119="","",SUMIFS(Depenses!$E:$E,Depenses!$B:$B,A119,Depenses!$F:$F,B119))</f>
        <v/>
      </c>
      <c r="G119" s="6">
        <f>IF(A119="","",SUMIFS(Depenses!$E:$E,Depenses!$B:$B,A119))</f>
        <v/>
      </c>
      <c r="H119">
        <f>IF(A119="","",COUNTIFS($A:$A,A119,$D:$D,1))</f>
        <v/>
      </c>
      <c r="I119" s="6">
        <f>IF(A119="","",IF(AND(D119=1,H119&gt;0),G119/H119,0))</f>
        <v/>
      </c>
      <c r="J119" s="6">
        <f>IF(A119="","",C119+F119-I119)</f>
        <v/>
      </c>
      <c r="K119" s="9" t="n"/>
    </row>
    <row r="120">
      <c r="C120" s="6" t="n"/>
      <c r="F120" s="6">
        <f>IF(A120="","",SUMIFS(Depenses!$E:$E,Depenses!$B:$B,A120,Depenses!$F:$F,B120))</f>
        <v/>
      </c>
      <c r="G120" s="6">
        <f>IF(A120="","",SUMIFS(Depenses!$E:$E,Depenses!$B:$B,A120))</f>
        <v/>
      </c>
      <c r="H120">
        <f>IF(A120="","",COUNTIFS($A:$A,A120,$D:$D,1))</f>
        <v/>
      </c>
      <c r="I120" s="6">
        <f>IF(A120="","",IF(AND(D120=1,H120&gt;0),G120/H120,0))</f>
        <v/>
      </c>
      <c r="J120" s="6">
        <f>IF(A120="","",C120+F120-I120)</f>
        <v/>
      </c>
      <c r="K120" s="9" t="n"/>
    </row>
    <row r="121">
      <c r="C121" s="6" t="n"/>
      <c r="F121" s="6">
        <f>IF(A121="","",SUMIFS(Depenses!$E:$E,Depenses!$B:$B,A121,Depenses!$F:$F,B121))</f>
        <v/>
      </c>
      <c r="G121" s="6">
        <f>IF(A121="","",SUMIFS(Depenses!$E:$E,Depenses!$B:$B,A121))</f>
        <v/>
      </c>
      <c r="H121">
        <f>IF(A121="","",COUNTIFS($A:$A,A121,$D:$D,1))</f>
        <v/>
      </c>
      <c r="I121" s="6">
        <f>IF(A121="","",IF(AND(D121=1,H121&gt;0),G121/H121,0))</f>
        <v/>
      </c>
      <c r="J121" s="6">
        <f>IF(A121="","",C121+F121-I121)</f>
        <v/>
      </c>
      <c r="K121" s="9" t="n"/>
    </row>
    <row r="122">
      <c r="C122" s="6" t="n"/>
      <c r="F122" s="6">
        <f>IF(A122="","",SUMIFS(Depenses!$E:$E,Depenses!$B:$B,A122,Depenses!$F:$F,B122))</f>
        <v/>
      </c>
      <c r="G122" s="6">
        <f>IF(A122="","",SUMIFS(Depenses!$E:$E,Depenses!$B:$B,A122))</f>
        <v/>
      </c>
      <c r="H122">
        <f>IF(A122="","",COUNTIFS($A:$A,A122,$D:$D,1))</f>
        <v/>
      </c>
      <c r="I122" s="6">
        <f>IF(A122="","",IF(AND(D122=1,H122&gt;0),G122/H122,0))</f>
        <v/>
      </c>
      <c r="J122" s="6">
        <f>IF(A122="","",C122+F122-I122)</f>
        <v/>
      </c>
      <c r="K122" s="9" t="n"/>
    </row>
    <row r="123">
      <c r="C123" s="6" t="n"/>
      <c r="F123" s="6">
        <f>IF(A123="","",SUMIFS(Depenses!$E:$E,Depenses!$B:$B,A123,Depenses!$F:$F,B123))</f>
        <v/>
      </c>
      <c r="G123" s="6">
        <f>IF(A123="","",SUMIFS(Depenses!$E:$E,Depenses!$B:$B,A123))</f>
        <v/>
      </c>
      <c r="H123">
        <f>IF(A123="","",COUNTIFS($A:$A,A123,$D:$D,1))</f>
        <v/>
      </c>
      <c r="I123" s="6">
        <f>IF(A123="","",IF(AND(D123=1,H123&gt;0),G123/H123,0))</f>
        <v/>
      </c>
      <c r="J123" s="6">
        <f>IF(A123="","",C123+F123-I123)</f>
        <v/>
      </c>
      <c r="K123" s="9" t="n"/>
    </row>
    <row r="124">
      <c r="C124" s="6" t="n"/>
      <c r="F124" s="6">
        <f>IF(A124="","",SUMIFS(Depenses!$E:$E,Depenses!$B:$B,A124,Depenses!$F:$F,B124))</f>
        <v/>
      </c>
      <c r="G124" s="6">
        <f>IF(A124="","",SUMIFS(Depenses!$E:$E,Depenses!$B:$B,A124))</f>
        <v/>
      </c>
      <c r="H124">
        <f>IF(A124="","",COUNTIFS($A:$A,A124,$D:$D,1))</f>
        <v/>
      </c>
      <c r="I124" s="6">
        <f>IF(A124="","",IF(AND(D124=1,H124&gt;0),G124/H124,0))</f>
        <v/>
      </c>
      <c r="J124" s="6">
        <f>IF(A124="","",C124+F124-I124)</f>
        <v/>
      </c>
      <c r="K124" s="9" t="n"/>
    </row>
    <row r="125">
      <c r="C125" s="6" t="n"/>
      <c r="F125" s="6">
        <f>IF(A125="","",SUMIFS(Depenses!$E:$E,Depenses!$B:$B,A125,Depenses!$F:$F,B125))</f>
        <v/>
      </c>
      <c r="G125" s="6">
        <f>IF(A125="","",SUMIFS(Depenses!$E:$E,Depenses!$B:$B,A125))</f>
        <v/>
      </c>
      <c r="H125">
        <f>IF(A125="","",COUNTIFS($A:$A,A125,$D:$D,1))</f>
        <v/>
      </c>
      <c r="I125" s="6">
        <f>IF(A125="","",IF(AND(D125=1,H125&gt;0),G125/H125,0))</f>
        <v/>
      </c>
      <c r="J125" s="6">
        <f>IF(A125="","",C125+F125-I125)</f>
        <v/>
      </c>
      <c r="K125" s="9" t="n"/>
    </row>
    <row r="126">
      <c r="C126" s="6" t="n"/>
      <c r="F126" s="6">
        <f>IF(A126="","",SUMIFS(Depenses!$E:$E,Depenses!$B:$B,A126,Depenses!$F:$F,B126))</f>
        <v/>
      </c>
      <c r="G126" s="6">
        <f>IF(A126="","",SUMIFS(Depenses!$E:$E,Depenses!$B:$B,A126))</f>
        <v/>
      </c>
      <c r="H126">
        <f>IF(A126="","",COUNTIFS($A:$A,A126,$D:$D,1))</f>
        <v/>
      </c>
      <c r="I126" s="6">
        <f>IF(A126="","",IF(AND(D126=1,H126&gt;0),G126/H126,0))</f>
        <v/>
      </c>
      <c r="J126" s="6">
        <f>IF(A126="","",C126+F126-I126)</f>
        <v/>
      </c>
      <c r="K126" s="9" t="n"/>
    </row>
    <row r="127">
      <c r="C127" s="6" t="n"/>
      <c r="F127" s="6">
        <f>IF(A127="","",SUMIFS(Depenses!$E:$E,Depenses!$B:$B,A127,Depenses!$F:$F,B127))</f>
        <v/>
      </c>
      <c r="G127" s="6">
        <f>IF(A127="","",SUMIFS(Depenses!$E:$E,Depenses!$B:$B,A127))</f>
        <v/>
      </c>
      <c r="H127">
        <f>IF(A127="","",COUNTIFS($A:$A,A127,$D:$D,1))</f>
        <v/>
      </c>
      <c r="I127" s="6">
        <f>IF(A127="","",IF(AND(D127=1,H127&gt;0),G127/H127,0))</f>
        <v/>
      </c>
      <c r="J127" s="6">
        <f>IF(A127="","",C127+F127-I127)</f>
        <v/>
      </c>
      <c r="K127" s="9" t="n"/>
    </row>
    <row r="128">
      <c r="C128" s="6" t="n"/>
      <c r="F128" s="6">
        <f>IF(A128="","",SUMIFS(Depenses!$E:$E,Depenses!$B:$B,A128,Depenses!$F:$F,B128))</f>
        <v/>
      </c>
      <c r="G128" s="6">
        <f>IF(A128="","",SUMIFS(Depenses!$E:$E,Depenses!$B:$B,A128))</f>
        <v/>
      </c>
      <c r="H128">
        <f>IF(A128="","",COUNTIFS($A:$A,A128,$D:$D,1))</f>
        <v/>
      </c>
      <c r="I128" s="6">
        <f>IF(A128="","",IF(AND(D128=1,H128&gt;0),G128/H128,0))</f>
        <v/>
      </c>
      <c r="J128" s="6">
        <f>IF(A128="","",C128+F128-I128)</f>
        <v/>
      </c>
      <c r="K128" s="9" t="n"/>
    </row>
    <row r="129">
      <c r="C129" s="6" t="n"/>
      <c r="F129" s="6">
        <f>IF(A129="","",SUMIFS(Depenses!$E:$E,Depenses!$B:$B,A129,Depenses!$F:$F,B129))</f>
        <v/>
      </c>
      <c r="G129" s="6">
        <f>IF(A129="","",SUMIFS(Depenses!$E:$E,Depenses!$B:$B,A129))</f>
        <v/>
      </c>
      <c r="H129">
        <f>IF(A129="","",COUNTIFS($A:$A,A129,$D:$D,1))</f>
        <v/>
      </c>
      <c r="I129" s="6">
        <f>IF(A129="","",IF(AND(D129=1,H129&gt;0),G129/H129,0))</f>
        <v/>
      </c>
      <c r="J129" s="6">
        <f>IF(A129="","",C129+F129-I129)</f>
        <v/>
      </c>
      <c r="K129" s="9" t="n"/>
    </row>
    <row r="130">
      <c r="C130" s="6" t="n"/>
      <c r="F130" s="6">
        <f>IF(A130="","",SUMIFS(Depenses!$E:$E,Depenses!$B:$B,A130,Depenses!$F:$F,B130))</f>
        <v/>
      </c>
      <c r="G130" s="6">
        <f>IF(A130="","",SUMIFS(Depenses!$E:$E,Depenses!$B:$B,A130))</f>
        <v/>
      </c>
      <c r="H130">
        <f>IF(A130="","",COUNTIFS($A:$A,A130,$D:$D,1))</f>
        <v/>
      </c>
      <c r="I130" s="6">
        <f>IF(A130="","",IF(AND(D130=1,H130&gt;0),G130/H130,0))</f>
        <v/>
      </c>
      <c r="J130" s="6">
        <f>IF(A130="","",C130+F130-I130)</f>
        <v/>
      </c>
      <c r="K130" s="9" t="n"/>
    </row>
    <row r="131">
      <c r="C131" s="6" t="n"/>
      <c r="F131" s="6">
        <f>IF(A131="","",SUMIFS(Depenses!$E:$E,Depenses!$B:$B,A131,Depenses!$F:$F,B131))</f>
        <v/>
      </c>
      <c r="G131" s="6">
        <f>IF(A131="","",SUMIFS(Depenses!$E:$E,Depenses!$B:$B,A131))</f>
        <v/>
      </c>
      <c r="H131">
        <f>IF(A131="","",COUNTIFS($A:$A,A131,$D:$D,1))</f>
        <v/>
      </c>
      <c r="I131" s="6">
        <f>IF(A131="","",IF(AND(D131=1,H131&gt;0),G131/H131,0))</f>
        <v/>
      </c>
      <c r="J131" s="6">
        <f>IF(A131="","",C131+F131-I131)</f>
        <v/>
      </c>
      <c r="K131" s="9" t="n"/>
    </row>
    <row r="132">
      <c r="C132" s="6" t="n"/>
      <c r="F132" s="6">
        <f>IF(A132="","",SUMIFS(Depenses!$E:$E,Depenses!$B:$B,A132,Depenses!$F:$F,B132))</f>
        <v/>
      </c>
      <c r="G132" s="6">
        <f>IF(A132="","",SUMIFS(Depenses!$E:$E,Depenses!$B:$B,A132))</f>
        <v/>
      </c>
      <c r="H132">
        <f>IF(A132="","",COUNTIFS($A:$A,A132,$D:$D,1))</f>
        <v/>
      </c>
      <c r="I132" s="6">
        <f>IF(A132="","",IF(AND(D132=1,H132&gt;0),G132/H132,0))</f>
        <v/>
      </c>
      <c r="J132" s="6">
        <f>IF(A132="","",C132+F132-I132)</f>
        <v/>
      </c>
      <c r="K132" s="9" t="n"/>
    </row>
    <row r="133">
      <c r="C133" s="6" t="n"/>
      <c r="F133" s="6">
        <f>IF(A133="","",SUMIFS(Depenses!$E:$E,Depenses!$B:$B,A133,Depenses!$F:$F,B133))</f>
        <v/>
      </c>
      <c r="G133" s="6">
        <f>IF(A133="","",SUMIFS(Depenses!$E:$E,Depenses!$B:$B,A133))</f>
        <v/>
      </c>
      <c r="H133">
        <f>IF(A133="","",COUNTIFS($A:$A,A133,$D:$D,1))</f>
        <v/>
      </c>
      <c r="I133" s="6">
        <f>IF(A133="","",IF(AND(D133=1,H133&gt;0),G133/H133,0))</f>
        <v/>
      </c>
      <c r="J133" s="6">
        <f>IF(A133="","",C133+F133-I133)</f>
        <v/>
      </c>
      <c r="K133" s="9" t="n"/>
    </row>
    <row r="134">
      <c r="C134" s="6" t="n"/>
      <c r="F134" s="6">
        <f>IF(A134="","",SUMIFS(Depenses!$E:$E,Depenses!$B:$B,A134,Depenses!$F:$F,B134))</f>
        <v/>
      </c>
      <c r="G134" s="6">
        <f>IF(A134="","",SUMIFS(Depenses!$E:$E,Depenses!$B:$B,A134))</f>
        <v/>
      </c>
      <c r="H134">
        <f>IF(A134="","",COUNTIFS($A:$A,A134,$D:$D,1))</f>
        <v/>
      </c>
      <c r="I134" s="6">
        <f>IF(A134="","",IF(AND(D134=1,H134&gt;0),G134/H134,0))</f>
        <v/>
      </c>
      <c r="J134" s="6">
        <f>IF(A134="","",C134+F134-I134)</f>
        <v/>
      </c>
      <c r="K134" s="9" t="n"/>
    </row>
    <row r="135">
      <c r="C135" s="6" t="n"/>
      <c r="F135" s="6">
        <f>IF(A135="","",SUMIFS(Depenses!$E:$E,Depenses!$B:$B,A135,Depenses!$F:$F,B135))</f>
        <v/>
      </c>
      <c r="G135" s="6">
        <f>IF(A135="","",SUMIFS(Depenses!$E:$E,Depenses!$B:$B,A135))</f>
        <v/>
      </c>
      <c r="H135">
        <f>IF(A135="","",COUNTIFS($A:$A,A135,$D:$D,1))</f>
        <v/>
      </c>
      <c r="I135" s="6">
        <f>IF(A135="","",IF(AND(D135=1,H135&gt;0),G135/H135,0))</f>
        <v/>
      </c>
      <c r="J135" s="6">
        <f>IF(A135="","",C135+F135-I135)</f>
        <v/>
      </c>
      <c r="K135" s="9" t="n"/>
    </row>
    <row r="136">
      <c r="C136" s="6" t="n"/>
      <c r="F136" s="6">
        <f>IF(A136="","",SUMIFS(Depenses!$E:$E,Depenses!$B:$B,A136,Depenses!$F:$F,B136))</f>
        <v/>
      </c>
      <c r="G136" s="6">
        <f>IF(A136="","",SUMIFS(Depenses!$E:$E,Depenses!$B:$B,A136))</f>
        <v/>
      </c>
      <c r="H136">
        <f>IF(A136="","",COUNTIFS($A:$A,A136,$D:$D,1))</f>
        <v/>
      </c>
      <c r="I136" s="6">
        <f>IF(A136="","",IF(AND(D136=1,H136&gt;0),G136/H136,0))</f>
        <v/>
      </c>
      <c r="J136" s="6">
        <f>IF(A136="","",C136+F136-I136)</f>
        <v/>
      </c>
      <c r="K136" s="9" t="n"/>
    </row>
    <row r="137">
      <c r="C137" s="6" t="n"/>
      <c r="F137" s="6">
        <f>IF(A137="","",SUMIFS(Depenses!$E:$E,Depenses!$B:$B,A137,Depenses!$F:$F,B137))</f>
        <v/>
      </c>
      <c r="G137" s="6">
        <f>IF(A137="","",SUMIFS(Depenses!$E:$E,Depenses!$B:$B,A137))</f>
        <v/>
      </c>
      <c r="H137">
        <f>IF(A137="","",COUNTIFS($A:$A,A137,$D:$D,1))</f>
        <v/>
      </c>
      <c r="I137" s="6">
        <f>IF(A137="","",IF(AND(D137=1,H137&gt;0),G137/H137,0))</f>
        <v/>
      </c>
      <c r="J137" s="6">
        <f>IF(A137="","",C137+F137-I137)</f>
        <v/>
      </c>
      <c r="K137" s="9" t="n"/>
    </row>
    <row r="138">
      <c r="C138" s="6" t="n"/>
      <c r="F138" s="6">
        <f>IF(A138="","",SUMIFS(Depenses!$E:$E,Depenses!$B:$B,A138,Depenses!$F:$F,B138))</f>
        <v/>
      </c>
      <c r="G138" s="6">
        <f>IF(A138="","",SUMIFS(Depenses!$E:$E,Depenses!$B:$B,A138))</f>
        <v/>
      </c>
      <c r="H138">
        <f>IF(A138="","",COUNTIFS($A:$A,A138,$D:$D,1))</f>
        <v/>
      </c>
      <c r="I138" s="6">
        <f>IF(A138="","",IF(AND(D138=1,H138&gt;0),G138/H138,0))</f>
        <v/>
      </c>
      <c r="J138" s="6">
        <f>IF(A138="","",C138+F138-I138)</f>
        <v/>
      </c>
      <c r="K138" s="9" t="n"/>
    </row>
    <row r="139">
      <c r="C139" s="6" t="n"/>
      <c r="F139" s="6">
        <f>IF(A139="","",SUMIFS(Depenses!$E:$E,Depenses!$B:$B,A139,Depenses!$F:$F,B139))</f>
        <v/>
      </c>
      <c r="G139" s="6">
        <f>IF(A139="","",SUMIFS(Depenses!$E:$E,Depenses!$B:$B,A139))</f>
        <v/>
      </c>
      <c r="H139">
        <f>IF(A139="","",COUNTIFS($A:$A,A139,$D:$D,1))</f>
        <v/>
      </c>
      <c r="I139" s="6">
        <f>IF(A139="","",IF(AND(D139=1,H139&gt;0),G139/H139,0))</f>
        <v/>
      </c>
      <c r="J139" s="6">
        <f>IF(A139="","",C139+F139-I139)</f>
        <v/>
      </c>
      <c r="K139" s="9" t="n"/>
    </row>
    <row r="140">
      <c r="C140" s="6" t="n"/>
      <c r="F140" s="6">
        <f>IF(A140="","",SUMIFS(Depenses!$E:$E,Depenses!$B:$B,A140,Depenses!$F:$F,B140))</f>
        <v/>
      </c>
      <c r="G140" s="6">
        <f>IF(A140="","",SUMIFS(Depenses!$E:$E,Depenses!$B:$B,A140))</f>
        <v/>
      </c>
      <c r="H140">
        <f>IF(A140="","",COUNTIFS($A:$A,A140,$D:$D,1))</f>
        <v/>
      </c>
      <c r="I140" s="6">
        <f>IF(A140="","",IF(AND(D140=1,H140&gt;0),G140/H140,0))</f>
        <v/>
      </c>
      <c r="J140" s="6">
        <f>IF(A140="","",C140+F140-I140)</f>
        <v/>
      </c>
      <c r="K140" s="9" t="n"/>
    </row>
    <row r="141">
      <c r="C141" s="6" t="n"/>
      <c r="F141" s="6">
        <f>IF(A141="","",SUMIFS(Depenses!$E:$E,Depenses!$B:$B,A141,Depenses!$F:$F,B141))</f>
        <v/>
      </c>
      <c r="G141" s="6">
        <f>IF(A141="","",SUMIFS(Depenses!$E:$E,Depenses!$B:$B,A141))</f>
        <v/>
      </c>
      <c r="H141">
        <f>IF(A141="","",COUNTIFS($A:$A,A141,$D:$D,1))</f>
        <v/>
      </c>
      <c r="I141" s="6">
        <f>IF(A141="","",IF(AND(D141=1,H141&gt;0),G141/H141,0))</f>
        <v/>
      </c>
      <c r="J141" s="6">
        <f>IF(A141="","",C141+F141-I141)</f>
        <v/>
      </c>
      <c r="K141" s="9" t="n"/>
    </row>
    <row r="142">
      <c r="C142" s="6" t="n"/>
      <c r="F142" s="6">
        <f>IF(A142="","",SUMIFS(Depenses!$E:$E,Depenses!$B:$B,A142,Depenses!$F:$F,B142))</f>
        <v/>
      </c>
      <c r="G142" s="6">
        <f>IF(A142="","",SUMIFS(Depenses!$E:$E,Depenses!$B:$B,A142))</f>
        <v/>
      </c>
      <c r="H142">
        <f>IF(A142="","",COUNTIFS($A:$A,A142,$D:$D,1))</f>
        <v/>
      </c>
      <c r="I142" s="6">
        <f>IF(A142="","",IF(AND(D142=1,H142&gt;0),G142/H142,0))</f>
        <v/>
      </c>
      <c r="J142" s="6">
        <f>IF(A142="","",C142+F142-I142)</f>
        <v/>
      </c>
      <c r="K142" s="9" t="n"/>
    </row>
    <row r="143">
      <c r="C143" s="6" t="n"/>
      <c r="F143" s="6">
        <f>IF(A143="","",SUMIFS(Depenses!$E:$E,Depenses!$B:$B,A143,Depenses!$F:$F,B143))</f>
        <v/>
      </c>
      <c r="G143" s="6">
        <f>IF(A143="","",SUMIFS(Depenses!$E:$E,Depenses!$B:$B,A143))</f>
        <v/>
      </c>
      <c r="H143">
        <f>IF(A143="","",COUNTIFS($A:$A,A143,$D:$D,1))</f>
        <v/>
      </c>
      <c r="I143" s="6">
        <f>IF(A143="","",IF(AND(D143=1,H143&gt;0),G143/H143,0))</f>
        <v/>
      </c>
      <c r="J143" s="6">
        <f>IF(A143="","",C143+F143-I143)</f>
        <v/>
      </c>
      <c r="K143" s="9" t="n"/>
    </row>
    <row r="144">
      <c r="C144" s="6" t="n"/>
      <c r="F144" s="6">
        <f>IF(A144="","",SUMIFS(Depenses!$E:$E,Depenses!$B:$B,A144,Depenses!$F:$F,B144))</f>
        <v/>
      </c>
      <c r="G144" s="6">
        <f>IF(A144="","",SUMIFS(Depenses!$E:$E,Depenses!$B:$B,A144))</f>
        <v/>
      </c>
      <c r="H144">
        <f>IF(A144="","",COUNTIFS($A:$A,A144,$D:$D,1))</f>
        <v/>
      </c>
      <c r="I144" s="6">
        <f>IF(A144="","",IF(AND(D144=1,H144&gt;0),G144/H144,0))</f>
        <v/>
      </c>
      <c r="J144" s="6">
        <f>IF(A144="","",C144+F144-I144)</f>
        <v/>
      </c>
      <c r="K144" s="9" t="n"/>
    </row>
    <row r="145">
      <c r="C145" s="6" t="n"/>
      <c r="F145" s="6">
        <f>IF(A145="","",SUMIFS(Depenses!$E:$E,Depenses!$B:$B,A145,Depenses!$F:$F,B145))</f>
        <v/>
      </c>
      <c r="G145" s="6">
        <f>IF(A145="","",SUMIFS(Depenses!$E:$E,Depenses!$B:$B,A145))</f>
        <v/>
      </c>
      <c r="H145">
        <f>IF(A145="","",COUNTIFS($A:$A,A145,$D:$D,1))</f>
        <v/>
      </c>
      <c r="I145" s="6">
        <f>IF(A145="","",IF(AND(D145=1,H145&gt;0),G145/H145,0))</f>
        <v/>
      </c>
      <c r="J145" s="6">
        <f>IF(A145="","",C145+F145-I145)</f>
        <v/>
      </c>
      <c r="K145" s="9" t="n"/>
    </row>
    <row r="146">
      <c r="C146" s="6" t="n"/>
      <c r="F146" s="6">
        <f>IF(A146="","",SUMIFS(Depenses!$E:$E,Depenses!$B:$B,A146,Depenses!$F:$F,B146))</f>
        <v/>
      </c>
      <c r="G146" s="6">
        <f>IF(A146="","",SUMIFS(Depenses!$E:$E,Depenses!$B:$B,A146))</f>
        <v/>
      </c>
      <c r="H146">
        <f>IF(A146="","",COUNTIFS($A:$A,A146,$D:$D,1))</f>
        <v/>
      </c>
      <c r="I146" s="6">
        <f>IF(A146="","",IF(AND(D146=1,H146&gt;0),G146/H146,0))</f>
        <v/>
      </c>
      <c r="J146" s="6">
        <f>IF(A146="","",C146+F146-I146)</f>
        <v/>
      </c>
      <c r="K146" s="9" t="n"/>
    </row>
    <row r="147">
      <c r="C147" s="6" t="n"/>
      <c r="F147" s="6">
        <f>IF(A147="","",SUMIFS(Depenses!$E:$E,Depenses!$B:$B,A147,Depenses!$F:$F,B147))</f>
        <v/>
      </c>
      <c r="G147" s="6">
        <f>IF(A147="","",SUMIFS(Depenses!$E:$E,Depenses!$B:$B,A147))</f>
        <v/>
      </c>
      <c r="H147">
        <f>IF(A147="","",COUNTIFS($A:$A,A147,$D:$D,1))</f>
        <v/>
      </c>
      <c r="I147" s="6">
        <f>IF(A147="","",IF(AND(D147=1,H147&gt;0),G147/H147,0))</f>
        <v/>
      </c>
      <c r="J147" s="6">
        <f>IF(A147="","",C147+F147-I147)</f>
        <v/>
      </c>
      <c r="K147" s="9" t="n"/>
    </row>
    <row r="148">
      <c r="C148" s="6" t="n"/>
      <c r="F148" s="6">
        <f>IF(A148="","",SUMIFS(Depenses!$E:$E,Depenses!$B:$B,A148,Depenses!$F:$F,B148))</f>
        <v/>
      </c>
      <c r="G148" s="6">
        <f>IF(A148="","",SUMIFS(Depenses!$E:$E,Depenses!$B:$B,A148))</f>
        <v/>
      </c>
      <c r="H148">
        <f>IF(A148="","",COUNTIFS($A:$A,A148,$D:$D,1))</f>
        <v/>
      </c>
      <c r="I148" s="6">
        <f>IF(A148="","",IF(AND(D148=1,H148&gt;0),G148/H148,0))</f>
        <v/>
      </c>
      <c r="J148" s="6">
        <f>IF(A148="","",C148+F148-I148)</f>
        <v/>
      </c>
      <c r="K148" s="9" t="n"/>
    </row>
    <row r="149">
      <c r="C149" s="6" t="n"/>
      <c r="F149" s="6">
        <f>IF(A149="","",SUMIFS(Depenses!$E:$E,Depenses!$B:$B,A149,Depenses!$F:$F,B149))</f>
        <v/>
      </c>
      <c r="G149" s="6">
        <f>IF(A149="","",SUMIFS(Depenses!$E:$E,Depenses!$B:$B,A149))</f>
        <v/>
      </c>
      <c r="H149">
        <f>IF(A149="","",COUNTIFS($A:$A,A149,$D:$D,1))</f>
        <v/>
      </c>
      <c r="I149" s="6">
        <f>IF(A149="","",IF(AND(D149=1,H149&gt;0),G149/H149,0))</f>
        <v/>
      </c>
      <c r="J149" s="6">
        <f>IF(A149="","",C149+F149-I149)</f>
        <v/>
      </c>
      <c r="K149" s="9" t="n"/>
    </row>
    <row r="150">
      <c r="C150" s="6" t="n"/>
      <c r="F150" s="6">
        <f>IF(A150="","",SUMIFS(Depenses!$E:$E,Depenses!$B:$B,A150,Depenses!$F:$F,B150))</f>
        <v/>
      </c>
      <c r="G150" s="6">
        <f>IF(A150="","",SUMIFS(Depenses!$E:$E,Depenses!$B:$B,A150))</f>
        <v/>
      </c>
      <c r="H150">
        <f>IF(A150="","",COUNTIFS($A:$A,A150,$D:$D,1))</f>
        <v/>
      </c>
      <c r="I150" s="6">
        <f>IF(A150="","",IF(AND(D150=1,H150&gt;0),G150/H150,0))</f>
        <v/>
      </c>
      <c r="J150" s="6">
        <f>IF(A150="","",C150+F150-I150)</f>
        <v/>
      </c>
      <c r="K150" s="9" t="n"/>
    </row>
    <row r="151">
      <c r="C151" s="6" t="n"/>
      <c r="F151" s="6">
        <f>IF(A151="","",SUMIFS(Depenses!$E:$E,Depenses!$B:$B,A151,Depenses!$F:$F,B151))</f>
        <v/>
      </c>
      <c r="G151" s="6">
        <f>IF(A151="","",SUMIFS(Depenses!$E:$E,Depenses!$B:$B,A151))</f>
        <v/>
      </c>
      <c r="H151">
        <f>IF(A151="","",COUNTIFS($A:$A,A151,$D:$D,1))</f>
        <v/>
      </c>
      <c r="I151" s="6">
        <f>IF(A151="","",IF(AND(D151=1,H151&gt;0),G151/H151,0))</f>
        <v/>
      </c>
      <c r="J151" s="6">
        <f>IF(A151="","",C151+F151-I151)</f>
        <v/>
      </c>
      <c r="K151" s="9" t="n"/>
    </row>
    <row r="152">
      <c r="C152" s="6" t="n"/>
      <c r="F152" s="6">
        <f>IF(A152="","",SUMIFS(Depenses!$E:$E,Depenses!$B:$B,A152,Depenses!$F:$F,B152))</f>
        <v/>
      </c>
      <c r="G152" s="6">
        <f>IF(A152="","",SUMIFS(Depenses!$E:$E,Depenses!$B:$B,A152))</f>
        <v/>
      </c>
      <c r="H152">
        <f>IF(A152="","",COUNTIFS($A:$A,A152,$D:$D,1))</f>
        <v/>
      </c>
      <c r="I152" s="6">
        <f>IF(A152="","",IF(AND(D152=1,H152&gt;0),G152/H152,0))</f>
        <v/>
      </c>
      <c r="J152" s="6">
        <f>IF(A152="","",C152+F152-I152)</f>
        <v/>
      </c>
      <c r="K152" s="9" t="n"/>
    </row>
    <row r="153">
      <c r="C153" s="6" t="n"/>
      <c r="F153" s="6">
        <f>IF(A153="","",SUMIFS(Depenses!$E:$E,Depenses!$B:$B,A153,Depenses!$F:$F,B153))</f>
        <v/>
      </c>
      <c r="G153" s="6">
        <f>IF(A153="","",SUMIFS(Depenses!$E:$E,Depenses!$B:$B,A153))</f>
        <v/>
      </c>
      <c r="H153">
        <f>IF(A153="","",COUNTIFS($A:$A,A153,$D:$D,1))</f>
        <v/>
      </c>
      <c r="I153" s="6">
        <f>IF(A153="","",IF(AND(D153=1,H153&gt;0),G153/H153,0))</f>
        <v/>
      </c>
      <c r="J153" s="6">
        <f>IF(A153="","",C153+F153-I153)</f>
        <v/>
      </c>
      <c r="K153" s="9" t="n"/>
    </row>
    <row r="154">
      <c r="C154" s="6" t="n"/>
      <c r="F154" s="6">
        <f>IF(A154="","",SUMIFS(Depenses!$E:$E,Depenses!$B:$B,A154,Depenses!$F:$F,B154))</f>
        <v/>
      </c>
      <c r="G154" s="6">
        <f>IF(A154="","",SUMIFS(Depenses!$E:$E,Depenses!$B:$B,A154))</f>
        <v/>
      </c>
      <c r="H154">
        <f>IF(A154="","",COUNTIFS($A:$A,A154,$D:$D,1))</f>
        <v/>
      </c>
      <c r="I154" s="6">
        <f>IF(A154="","",IF(AND(D154=1,H154&gt;0),G154/H154,0))</f>
        <v/>
      </c>
      <c r="J154" s="6">
        <f>IF(A154="","",C154+F154-I154)</f>
        <v/>
      </c>
      <c r="K154" s="9" t="n"/>
    </row>
    <row r="155">
      <c r="C155" s="6" t="n"/>
      <c r="F155" s="6">
        <f>IF(A155="","",SUMIFS(Depenses!$E:$E,Depenses!$B:$B,A155,Depenses!$F:$F,B155))</f>
        <v/>
      </c>
      <c r="G155" s="6">
        <f>IF(A155="","",SUMIFS(Depenses!$E:$E,Depenses!$B:$B,A155))</f>
        <v/>
      </c>
      <c r="H155">
        <f>IF(A155="","",COUNTIFS($A:$A,A155,$D:$D,1))</f>
        <v/>
      </c>
      <c r="I155" s="6">
        <f>IF(A155="","",IF(AND(D155=1,H155&gt;0),G155/H155,0))</f>
        <v/>
      </c>
      <c r="J155" s="6">
        <f>IF(A155="","",C155+F155-I155)</f>
        <v/>
      </c>
      <c r="K155" s="9" t="n"/>
    </row>
    <row r="156">
      <c r="C156" s="6" t="n"/>
      <c r="F156" s="6">
        <f>IF(A156="","",SUMIFS(Depenses!$E:$E,Depenses!$B:$B,A156,Depenses!$F:$F,B156))</f>
        <v/>
      </c>
      <c r="G156" s="6">
        <f>IF(A156="","",SUMIFS(Depenses!$E:$E,Depenses!$B:$B,A156))</f>
        <v/>
      </c>
      <c r="H156">
        <f>IF(A156="","",COUNTIFS($A:$A,A156,$D:$D,1))</f>
        <v/>
      </c>
      <c r="I156" s="6">
        <f>IF(A156="","",IF(AND(D156=1,H156&gt;0),G156/H156,0))</f>
        <v/>
      </c>
      <c r="J156" s="6">
        <f>IF(A156="","",C156+F156-I156)</f>
        <v/>
      </c>
      <c r="K156" s="9" t="n"/>
    </row>
    <row r="157">
      <c r="C157" s="6" t="n"/>
      <c r="F157" s="6">
        <f>IF(A157="","",SUMIFS(Depenses!$E:$E,Depenses!$B:$B,A157,Depenses!$F:$F,B157))</f>
        <v/>
      </c>
      <c r="G157" s="6">
        <f>IF(A157="","",SUMIFS(Depenses!$E:$E,Depenses!$B:$B,A157))</f>
        <v/>
      </c>
      <c r="H157">
        <f>IF(A157="","",COUNTIFS($A:$A,A157,$D:$D,1))</f>
        <v/>
      </c>
      <c r="I157" s="6">
        <f>IF(A157="","",IF(AND(D157=1,H157&gt;0),G157/H157,0))</f>
        <v/>
      </c>
      <c r="J157" s="6">
        <f>IF(A157="","",C157+F157-I157)</f>
        <v/>
      </c>
      <c r="K157" s="9" t="n"/>
    </row>
    <row r="158">
      <c r="C158" s="6" t="n"/>
      <c r="F158" s="6">
        <f>IF(A158="","",SUMIFS(Depenses!$E:$E,Depenses!$B:$B,A158,Depenses!$F:$F,B158))</f>
        <v/>
      </c>
      <c r="G158" s="6">
        <f>IF(A158="","",SUMIFS(Depenses!$E:$E,Depenses!$B:$B,A158))</f>
        <v/>
      </c>
      <c r="H158">
        <f>IF(A158="","",COUNTIFS($A:$A,A158,$D:$D,1))</f>
        <v/>
      </c>
      <c r="I158" s="6">
        <f>IF(A158="","",IF(AND(D158=1,H158&gt;0),G158/H158,0))</f>
        <v/>
      </c>
      <c r="J158" s="6">
        <f>IF(A158="","",C158+F158-I158)</f>
        <v/>
      </c>
      <c r="K158" s="9" t="n"/>
    </row>
    <row r="159">
      <c r="C159" s="6" t="n"/>
      <c r="F159" s="6">
        <f>IF(A159="","",SUMIFS(Depenses!$E:$E,Depenses!$B:$B,A159,Depenses!$F:$F,B159))</f>
        <v/>
      </c>
      <c r="G159" s="6">
        <f>IF(A159="","",SUMIFS(Depenses!$E:$E,Depenses!$B:$B,A159))</f>
        <v/>
      </c>
      <c r="H159">
        <f>IF(A159="","",COUNTIFS($A:$A,A159,$D:$D,1))</f>
        <v/>
      </c>
      <c r="I159" s="6">
        <f>IF(A159="","",IF(AND(D159=1,H159&gt;0),G159/H159,0))</f>
        <v/>
      </c>
      <c r="J159" s="6">
        <f>IF(A159="","",C159+F159-I159)</f>
        <v/>
      </c>
      <c r="K159" s="9" t="n"/>
    </row>
    <row r="160">
      <c r="C160" s="6" t="n"/>
      <c r="F160" s="6">
        <f>IF(A160="","",SUMIFS(Depenses!$E:$E,Depenses!$B:$B,A160,Depenses!$F:$F,B160))</f>
        <v/>
      </c>
      <c r="G160" s="6">
        <f>IF(A160="","",SUMIFS(Depenses!$E:$E,Depenses!$B:$B,A160))</f>
        <v/>
      </c>
      <c r="H160">
        <f>IF(A160="","",COUNTIFS($A:$A,A160,$D:$D,1))</f>
        <v/>
      </c>
      <c r="I160" s="6">
        <f>IF(A160="","",IF(AND(D160=1,H160&gt;0),G160/H160,0))</f>
        <v/>
      </c>
      <c r="J160" s="6">
        <f>IF(A160="","",C160+F160-I160)</f>
        <v/>
      </c>
      <c r="K160" s="9" t="n"/>
    </row>
    <row r="161">
      <c r="C161" s="6" t="n"/>
      <c r="F161" s="6">
        <f>IF(A161="","",SUMIFS(Depenses!$E:$E,Depenses!$B:$B,A161,Depenses!$F:$F,B161))</f>
        <v/>
      </c>
      <c r="G161" s="6">
        <f>IF(A161="","",SUMIFS(Depenses!$E:$E,Depenses!$B:$B,A161))</f>
        <v/>
      </c>
      <c r="H161">
        <f>IF(A161="","",COUNTIFS($A:$A,A161,$D:$D,1))</f>
        <v/>
      </c>
      <c r="I161" s="6">
        <f>IF(A161="","",IF(AND(D161=1,H161&gt;0),G161/H161,0))</f>
        <v/>
      </c>
      <c r="J161" s="6">
        <f>IF(A161="","",C161+F161-I161)</f>
        <v/>
      </c>
      <c r="K161" s="9" t="n"/>
    </row>
    <row r="162">
      <c r="C162" s="6" t="n"/>
      <c r="F162" s="6">
        <f>IF(A162="","",SUMIFS(Depenses!$E:$E,Depenses!$B:$B,A162,Depenses!$F:$F,B162))</f>
        <v/>
      </c>
      <c r="G162" s="6">
        <f>IF(A162="","",SUMIFS(Depenses!$E:$E,Depenses!$B:$B,A162))</f>
        <v/>
      </c>
      <c r="H162">
        <f>IF(A162="","",COUNTIFS($A:$A,A162,$D:$D,1))</f>
        <v/>
      </c>
      <c r="I162" s="6">
        <f>IF(A162="","",IF(AND(D162=1,H162&gt;0),G162/H162,0))</f>
        <v/>
      </c>
      <c r="J162" s="6">
        <f>IF(A162="","",C162+F162-I162)</f>
        <v/>
      </c>
      <c r="K162" s="9" t="n"/>
    </row>
    <row r="163">
      <c r="C163" s="6" t="n"/>
      <c r="F163" s="6">
        <f>IF(A163="","",SUMIFS(Depenses!$E:$E,Depenses!$B:$B,A163,Depenses!$F:$F,B163))</f>
        <v/>
      </c>
      <c r="G163" s="6">
        <f>IF(A163="","",SUMIFS(Depenses!$E:$E,Depenses!$B:$B,A163))</f>
        <v/>
      </c>
      <c r="H163">
        <f>IF(A163="","",COUNTIFS($A:$A,A163,$D:$D,1))</f>
        <v/>
      </c>
      <c r="I163" s="6">
        <f>IF(A163="","",IF(AND(D163=1,H163&gt;0),G163/H163,0))</f>
        <v/>
      </c>
      <c r="J163" s="6">
        <f>IF(A163="","",C163+F163-I163)</f>
        <v/>
      </c>
      <c r="K163" s="9" t="n"/>
    </row>
    <row r="164">
      <c r="C164" s="6" t="n"/>
      <c r="F164" s="6">
        <f>IF(A164="","",SUMIFS(Depenses!$E:$E,Depenses!$B:$B,A164,Depenses!$F:$F,B164))</f>
        <v/>
      </c>
      <c r="G164" s="6">
        <f>IF(A164="","",SUMIFS(Depenses!$E:$E,Depenses!$B:$B,A164))</f>
        <v/>
      </c>
      <c r="H164">
        <f>IF(A164="","",COUNTIFS($A:$A,A164,$D:$D,1))</f>
        <v/>
      </c>
      <c r="I164" s="6">
        <f>IF(A164="","",IF(AND(D164=1,H164&gt;0),G164/H164,0))</f>
        <v/>
      </c>
      <c r="J164" s="6">
        <f>IF(A164="","",C164+F164-I164)</f>
        <v/>
      </c>
      <c r="K164" s="9" t="n"/>
    </row>
    <row r="165">
      <c r="C165" s="6" t="n"/>
      <c r="F165" s="6">
        <f>IF(A165="","",SUMIFS(Depenses!$E:$E,Depenses!$B:$B,A165,Depenses!$F:$F,B165))</f>
        <v/>
      </c>
      <c r="G165" s="6">
        <f>IF(A165="","",SUMIFS(Depenses!$E:$E,Depenses!$B:$B,A165))</f>
        <v/>
      </c>
      <c r="H165">
        <f>IF(A165="","",COUNTIFS($A:$A,A165,$D:$D,1))</f>
        <v/>
      </c>
      <c r="I165" s="6">
        <f>IF(A165="","",IF(AND(D165=1,H165&gt;0),G165/H165,0))</f>
        <v/>
      </c>
      <c r="J165" s="6">
        <f>IF(A165="","",C165+F165-I165)</f>
        <v/>
      </c>
      <c r="K165" s="9" t="n"/>
    </row>
    <row r="166">
      <c r="C166" s="6" t="n"/>
      <c r="F166" s="6">
        <f>IF(A166="","",SUMIFS(Depenses!$E:$E,Depenses!$B:$B,A166,Depenses!$F:$F,B166))</f>
        <v/>
      </c>
      <c r="G166" s="6">
        <f>IF(A166="","",SUMIFS(Depenses!$E:$E,Depenses!$B:$B,A166))</f>
        <v/>
      </c>
      <c r="H166">
        <f>IF(A166="","",COUNTIFS($A:$A,A166,$D:$D,1))</f>
        <v/>
      </c>
      <c r="I166" s="6">
        <f>IF(A166="","",IF(AND(D166=1,H166&gt;0),G166/H166,0))</f>
        <v/>
      </c>
      <c r="J166" s="6">
        <f>IF(A166="","",C166+F166-I166)</f>
        <v/>
      </c>
      <c r="K166" s="9" t="n"/>
    </row>
    <row r="167">
      <c r="C167" s="6" t="n"/>
      <c r="F167" s="6">
        <f>IF(A167="","",SUMIFS(Depenses!$E:$E,Depenses!$B:$B,A167,Depenses!$F:$F,B167))</f>
        <v/>
      </c>
      <c r="G167" s="6">
        <f>IF(A167="","",SUMIFS(Depenses!$E:$E,Depenses!$B:$B,A167))</f>
        <v/>
      </c>
      <c r="H167">
        <f>IF(A167="","",COUNTIFS($A:$A,A167,$D:$D,1))</f>
        <v/>
      </c>
      <c r="I167" s="6">
        <f>IF(A167="","",IF(AND(D167=1,H167&gt;0),G167/H167,0))</f>
        <v/>
      </c>
      <c r="J167" s="6">
        <f>IF(A167="","",C167+F167-I167)</f>
        <v/>
      </c>
      <c r="K167" s="9" t="n"/>
    </row>
    <row r="168">
      <c r="C168" s="6" t="n"/>
      <c r="F168" s="6">
        <f>IF(A168="","",SUMIFS(Depenses!$E:$E,Depenses!$B:$B,A168,Depenses!$F:$F,B168))</f>
        <v/>
      </c>
      <c r="G168" s="6">
        <f>IF(A168="","",SUMIFS(Depenses!$E:$E,Depenses!$B:$B,A168))</f>
        <v/>
      </c>
      <c r="H168">
        <f>IF(A168="","",COUNTIFS($A:$A,A168,$D:$D,1))</f>
        <v/>
      </c>
      <c r="I168" s="6">
        <f>IF(A168="","",IF(AND(D168=1,H168&gt;0),G168/H168,0))</f>
        <v/>
      </c>
      <c r="J168" s="6">
        <f>IF(A168="","",C168+F168-I168)</f>
        <v/>
      </c>
      <c r="K168" s="9" t="n"/>
    </row>
    <row r="169">
      <c r="C169" s="6" t="n"/>
      <c r="F169" s="6">
        <f>IF(A169="","",SUMIFS(Depenses!$E:$E,Depenses!$B:$B,A169,Depenses!$F:$F,B169))</f>
        <v/>
      </c>
      <c r="G169" s="6">
        <f>IF(A169="","",SUMIFS(Depenses!$E:$E,Depenses!$B:$B,A169))</f>
        <v/>
      </c>
      <c r="H169">
        <f>IF(A169="","",COUNTIFS($A:$A,A169,$D:$D,1))</f>
        <v/>
      </c>
      <c r="I169" s="6">
        <f>IF(A169="","",IF(AND(D169=1,H169&gt;0),G169/H169,0))</f>
        <v/>
      </c>
      <c r="J169" s="6">
        <f>IF(A169="","",C169+F169-I169)</f>
        <v/>
      </c>
      <c r="K169" s="9" t="n"/>
    </row>
    <row r="170">
      <c r="C170" s="6" t="n"/>
      <c r="F170" s="6">
        <f>IF(A170="","",SUMIFS(Depenses!$E:$E,Depenses!$B:$B,A170,Depenses!$F:$F,B170))</f>
        <v/>
      </c>
      <c r="G170" s="6">
        <f>IF(A170="","",SUMIFS(Depenses!$E:$E,Depenses!$B:$B,A170))</f>
        <v/>
      </c>
      <c r="H170">
        <f>IF(A170="","",COUNTIFS($A:$A,A170,$D:$D,1))</f>
        <v/>
      </c>
      <c r="I170" s="6">
        <f>IF(A170="","",IF(AND(D170=1,H170&gt;0),G170/H170,0))</f>
        <v/>
      </c>
      <c r="J170" s="6">
        <f>IF(A170="","",C170+F170-I170)</f>
        <v/>
      </c>
      <c r="K170" s="9" t="n"/>
    </row>
    <row r="171">
      <c r="C171" s="6" t="n"/>
      <c r="F171" s="6">
        <f>IF(A171="","",SUMIFS(Depenses!$E:$E,Depenses!$B:$B,A171,Depenses!$F:$F,B171))</f>
        <v/>
      </c>
      <c r="G171" s="6">
        <f>IF(A171="","",SUMIFS(Depenses!$E:$E,Depenses!$B:$B,A171))</f>
        <v/>
      </c>
      <c r="H171">
        <f>IF(A171="","",COUNTIFS($A:$A,A171,$D:$D,1))</f>
        <v/>
      </c>
      <c r="I171" s="6">
        <f>IF(A171="","",IF(AND(D171=1,H171&gt;0),G171/H171,0))</f>
        <v/>
      </c>
      <c r="J171" s="6">
        <f>IF(A171="","",C171+F171-I171)</f>
        <v/>
      </c>
      <c r="K171" s="9" t="n"/>
    </row>
    <row r="172">
      <c r="C172" s="6" t="n"/>
      <c r="F172" s="6">
        <f>IF(A172="","",SUMIFS(Depenses!$E:$E,Depenses!$B:$B,A172,Depenses!$F:$F,B172))</f>
        <v/>
      </c>
      <c r="G172" s="6">
        <f>IF(A172="","",SUMIFS(Depenses!$E:$E,Depenses!$B:$B,A172))</f>
        <v/>
      </c>
      <c r="H172">
        <f>IF(A172="","",COUNTIFS($A:$A,A172,$D:$D,1))</f>
        <v/>
      </c>
      <c r="I172" s="6">
        <f>IF(A172="","",IF(AND(D172=1,H172&gt;0),G172/H172,0))</f>
        <v/>
      </c>
      <c r="J172" s="6">
        <f>IF(A172="","",C172+F172-I172)</f>
        <v/>
      </c>
      <c r="K172" s="9" t="n"/>
    </row>
    <row r="173">
      <c r="C173" s="6" t="n"/>
      <c r="F173" s="6">
        <f>IF(A173="","",SUMIFS(Depenses!$E:$E,Depenses!$B:$B,A173,Depenses!$F:$F,B173))</f>
        <v/>
      </c>
      <c r="G173" s="6">
        <f>IF(A173="","",SUMIFS(Depenses!$E:$E,Depenses!$B:$B,A173))</f>
        <v/>
      </c>
      <c r="H173">
        <f>IF(A173="","",COUNTIFS($A:$A,A173,$D:$D,1))</f>
        <v/>
      </c>
      <c r="I173" s="6">
        <f>IF(A173="","",IF(AND(D173=1,H173&gt;0),G173/H173,0))</f>
        <v/>
      </c>
      <c r="J173" s="6">
        <f>IF(A173="","",C173+F173-I173)</f>
        <v/>
      </c>
      <c r="K173" s="9" t="n"/>
    </row>
    <row r="174">
      <c r="C174" s="6" t="n"/>
      <c r="F174" s="6">
        <f>IF(A174="","",SUMIFS(Depenses!$E:$E,Depenses!$B:$B,A174,Depenses!$F:$F,B174))</f>
        <v/>
      </c>
      <c r="G174" s="6">
        <f>IF(A174="","",SUMIFS(Depenses!$E:$E,Depenses!$B:$B,A174))</f>
        <v/>
      </c>
      <c r="H174">
        <f>IF(A174="","",COUNTIFS($A:$A,A174,$D:$D,1))</f>
        <v/>
      </c>
      <c r="I174" s="6">
        <f>IF(A174="","",IF(AND(D174=1,H174&gt;0),G174/H174,0))</f>
        <v/>
      </c>
      <c r="J174" s="6">
        <f>IF(A174="","",C174+F174-I174)</f>
        <v/>
      </c>
      <c r="K174" s="9" t="n"/>
    </row>
    <row r="175">
      <c r="C175" s="6" t="n"/>
      <c r="F175" s="6">
        <f>IF(A175="","",SUMIFS(Depenses!$E:$E,Depenses!$B:$B,A175,Depenses!$F:$F,B175))</f>
        <v/>
      </c>
      <c r="G175" s="6">
        <f>IF(A175="","",SUMIFS(Depenses!$E:$E,Depenses!$B:$B,A175))</f>
        <v/>
      </c>
      <c r="H175">
        <f>IF(A175="","",COUNTIFS($A:$A,A175,$D:$D,1))</f>
        <v/>
      </c>
      <c r="I175" s="6">
        <f>IF(A175="","",IF(AND(D175=1,H175&gt;0),G175/H175,0))</f>
        <v/>
      </c>
      <c r="J175" s="6">
        <f>IF(A175="","",C175+F175-I175)</f>
        <v/>
      </c>
      <c r="K175" s="9" t="n"/>
    </row>
    <row r="176">
      <c r="C176" s="6" t="n"/>
      <c r="F176" s="6">
        <f>IF(A176="","",SUMIFS(Depenses!$E:$E,Depenses!$B:$B,A176,Depenses!$F:$F,B176))</f>
        <v/>
      </c>
      <c r="G176" s="6">
        <f>IF(A176="","",SUMIFS(Depenses!$E:$E,Depenses!$B:$B,A176))</f>
        <v/>
      </c>
      <c r="H176">
        <f>IF(A176="","",COUNTIFS($A:$A,A176,$D:$D,1))</f>
        <v/>
      </c>
      <c r="I176" s="6">
        <f>IF(A176="","",IF(AND(D176=1,H176&gt;0),G176/H176,0))</f>
        <v/>
      </c>
      <c r="J176" s="6">
        <f>IF(A176="","",C176+F176-I176)</f>
        <v/>
      </c>
      <c r="K176" s="9" t="n"/>
    </row>
    <row r="177">
      <c r="C177" s="6" t="n"/>
      <c r="F177" s="6">
        <f>IF(A177="","",SUMIFS(Depenses!$E:$E,Depenses!$B:$B,A177,Depenses!$F:$F,B177))</f>
        <v/>
      </c>
      <c r="G177" s="6">
        <f>IF(A177="","",SUMIFS(Depenses!$E:$E,Depenses!$B:$B,A177))</f>
        <v/>
      </c>
      <c r="H177">
        <f>IF(A177="","",COUNTIFS($A:$A,A177,$D:$D,1))</f>
        <v/>
      </c>
      <c r="I177" s="6">
        <f>IF(A177="","",IF(AND(D177=1,H177&gt;0),G177/H177,0))</f>
        <v/>
      </c>
      <c r="J177" s="6">
        <f>IF(A177="","",C177+F177-I177)</f>
        <v/>
      </c>
      <c r="K177" s="9" t="n"/>
    </row>
    <row r="178">
      <c r="C178" s="6" t="n"/>
      <c r="F178" s="6">
        <f>IF(A178="","",SUMIFS(Depenses!$E:$E,Depenses!$B:$B,A178,Depenses!$F:$F,B178))</f>
        <v/>
      </c>
      <c r="G178" s="6">
        <f>IF(A178="","",SUMIFS(Depenses!$E:$E,Depenses!$B:$B,A178))</f>
        <v/>
      </c>
      <c r="H178">
        <f>IF(A178="","",COUNTIFS($A:$A,A178,$D:$D,1))</f>
        <v/>
      </c>
      <c r="I178" s="6">
        <f>IF(A178="","",IF(AND(D178=1,H178&gt;0),G178/H178,0))</f>
        <v/>
      </c>
      <c r="J178" s="6">
        <f>IF(A178="","",C178+F178-I178)</f>
        <v/>
      </c>
      <c r="K178" s="9" t="n"/>
    </row>
    <row r="179">
      <c r="C179" s="6" t="n"/>
      <c r="F179" s="6">
        <f>IF(A179="","",SUMIFS(Depenses!$E:$E,Depenses!$B:$B,A179,Depenses!$F:$F,B179))</f>
        <v/>
      </c>
      <c r="G179" s="6">
        <f>IF(A179="","",SUMIFS(Depenses!$E:$E,Depenses!$B:$B,A179))</f>
        <v/>
      </c>
      <c r="H179">
        <f>IF(A179="","",COUNTIFS($A:$A,A179,$D:$D,1))</f>
        <v/>
      </c>
      <c r="I179" s="6">
        <f>IF(A179="","",IF(AND(D179=1,H179&gt;0),G179/H179,0))</f>
        <v/>
      </c>
      <c r="J179" s="6">
        <f>IF(A179="","",C179+F179-I179)</f>
        <v/>
      </c>
      <c r="K179" s="9" t="n"/>
    </row>
    <row r="180">
      <c r="C180" s="6" t="n"/>
      <c r="F180" s="6">
        <f>IF(A180="","",SUMIFS(Depenses!$E:$E,Depenses!$B:$B,A180,Depenses!$F:$F,B180))</f>
        <v/>
      </c>
      <c r="G180" s="6">
        <f>IF(A180="","",SUMIFS(Depenses!$E:$E,Depenses!$B:$B,A180))</f>
        <v/>
      </c>
      <c r="H180">
        <f>IF(A180="","",COUNTIFS($A:$A,A180,$D:$D,1))</f>
        <v/>
      </c>
      <c r="I180" s="6">
        <f>IF(A180="","",IF(AND(D180=1,H180&gt;0),G180/H180,0))</f>
        <v/>
      </c>
      <c r="J180" s="6">
        <f>IF(A180="","",C180+F180-I180)</f>
        <v/>
      </c>
      <c r="K180" s="9" t="n"/>
    </row>
    <row r="181">
      <c r="C181" s="6" t="n"/>
      <c r="F181" s="6">
        <f>IF(A181="","",SUMIFS(Depenses!$E:$E,Depenses!$B:$B,A181,Depenses!$F:$F,B181))</f>
        <v/>
      </c>
      <c r="G181" s="6">
        <f>IF(A181="","",SUMIFS(Depenses!$E:$E,Depenses!$B:$B,A181))</f>
        <v/>
      </c>
      <c r="H181">
        <f>IF(A181="","",COUNTIFS($A:$A,A181,$D:$D,1))</f>
        <v/>
      </c>
      <c r="I181" s="6">
        <f>IF(A181="","",IF(AND(D181=1,H181&gt;0),G181/H181,0))</f>
        <v/>
      </c>
      <c r="J181" s="6">
        <f>IF(A181="","",C181+F181-I181)</f>
        <v/>
      </c>
      <c r="K181" s="9" t="n"/>
    </row>
    <row r="182">
      <c r="C182" s="6" t="n"/>
      <c r="F182" s="6">
        <f>IF(A182="","",SUMIFS(Depenses!$E:$E,Depenses!$B:$B,A182,Depenses!$F:$F,B182))</f>
        <v/>
      </c>
      <c r="G182" s="6">
        <f>IF(A182="","",SUMIFS(Depenses!$E:$E,Depenses!$B:$B,A182))</f>
        <v/>
      </c>
      <c r="H182">
        <f>IF(A182="","",COUNTIFS($A:$A,A182,$D:$D,1))</f>
        <v/>
      </c>
      <c r="I182" s="6">
        <f>IF(A182="","",IF(AND(D182=1,H182&gt;0),G182/H182,0))</f>
        <v/>
      </c>
      <c r="J182" s="6">
        <f>IF(A182="","",C182+F182-I182)</f>
        <v/>
      </c>
      <c r="K182" s="9" t="n"/>
    </row>
    <row r="183">
      <c r="C183" s="6" t="n"/>
      <c r="F183" s="6">
        <f>IF(A183="","",SUMIFS(Depenses!$E:$E,Depenses!$B:$B,A183,Depenses!$F:$F,B183))</f>
        <v/>
      </c>
      <c r="G183" s="6">
        <f>IF(A183="","",SUMIFS(Depenses!$E:$E,Depenses!$B:$B,A183))</f>
        <v/>
      </c>
      <c r="H183">
        <f>IF(A183="","",COUNTIFS($A:$A,A183,$D:$D,1))</f>
        <v/>
      </c>
      <c r="I183" s="6">
        <f>IF(A183="","",IF(AND(D183=1,H183&gt;0),G183/H183,0))</f>
        <v/>
      </c>
      <c r="J183" s="6">
        <f>IF(A183="","",C183+F183-I183)</f>
        <v/>
      </c>
      <c r="K183" s="9" t="n"/>
    </row>
    <row r="184">
      <c r="C184" s="6" t="n"/>
      <c r="F184" s="6">
        <f>IF(A184="","",SUMIFS(Depenses!$E:$E,Depenses!$B:$B,A184,Depenses!$F:$F,B184))</f>
        <v/>
      </c>
      <c r="G184" s="6">
        <f>IF(A184="","",SUMIFS(Depenses!$E:$E,Depenses!$B:$B,A184))</f>
        <v/>
      </c>
      <c r="H184">
        <f>IF(A184="","",COUNTIFS($A:$A,A184,$D:$D,1))</f>
        <v/>
      </c>
      <c r="I184" s="6">
        <f>IF(A184="","",IF(AND(D184=1,H184&gt;0),G184/H184,0))</f>
        <v/>
      </c>
      <c r="J184" s="6">
        <f>IF(A184="","",C184+F184-I184)</f>
        <v/>
      </c>
      <c r="K184" s="9" t="n"/>
    </row>
    <row r="185">
      <c r="C185" s="6" t="n"/>
      <c r="F185" s="6">
        <f>IF(A185="","",SUMIFS(Depenses!$E:$E,Depenses!$B:$B,A185,Depenses!$F:$F,B185))</f>
        <v/>
      </c>
      <c r="G185" s="6">
        <f>IF(A185="","",SUMIFS(Depenses!$E:$E,Depenses!$B:$B,A185))</f>
        <v/>
      </c>
      <c r="H185">
        <f>IF(A185="","",COUNTIFS($A:$A,A185,$D:$D,1))</f>
        <v/>
      </c>
      <c r="I185" s="6">
        <f>IF(A185="","",IF(AND(D185=1,H185&gt;0),G185/H185,0))</f>
        <v/>
      </c>
      <c r="J185" s="6">
        <f>IF(A185="","",C185+F185-I185)</f>
        <v/>
      </c>
      <c r="K185" s="9" t="n"/>
    </row>
    <row r="186">
      <c r="C186" s="6" t="n"/>
      <c r="F186" s="6">
        <f>IF(A186="","",SUMIFS(Depenses!$E:$E,Depenses!$B:$B,A186,Depenses!$F:$F,B186))</f>
        <v/>
      </c>
      <c r="G186" s="6">
        <f>IF(A186="","",SUMIFS(Depenses!$E:$E,Depenses!$B:$B,A186))</f>
        <v/>
      </c>
      <c r="H186">
        <f>IF(A186="","",COUNTIFS($A:$A,A186,$D:$D,1))</f>
        <v/>
      </c>
      <c r="I186" s="6">
        <f>IF(A186="","",IF(AND(D186=1,H186&gt;0),G186/H186,0))</f>
        <v/>
      </c>
      <c r="J186" s="6">
        <f>IF(A186="","",C186+F186-I186)</f>
        <v/>
      </c>
      <c r="K186" s="9" t="n"/>
    </row>
    <row r="187">
      <c r="C187" s="6" t="n"/>
      <c r="F187" s="6">
        <f>IF(A187="","",SUMIFS(Depenses!$E:$E,Depenses!$B:$B,A187,Depenses!$F:$F,B187))</f>
        <v/>
      </c>
      <c r="G187" s="6">
        <f>IF(A187="","",SUMIFS(Depenses!$E:$E,Depenses!$B:$B,A187))</f>
        <v/>
      </c>
      <c r="H187">
        <f>IF(A187="","",COUNTIFS($A:$A,A187,$D:$D,1))</f>
        <v/>
      </c>
      <c r="I187" s="6">
        <f>IF(A187="","",IF(AND(D187=1,H187&gt;0),G187/H187,0))</f>
        <v/>
      </c>
      <c r="J187" s="6">
        <f>IF(A187="","",C187+F187-I187)</f>
        <v/>
      </c>
      <c r="K187" s="9" t="n"/>
    </row>
    <row r="188">
      <c r="C188" s="6" t="n"/>
      <c r="F188" s="6">
        <f>IF(A188="","",SUMIFS(Depenses!$E:$E,Depenses!$B:$B,A188,Depenses!$F:$F,B188))</f>
        <v/>
      </c>
      <c r="G188" s="6">
        <f>IF(A188="","",SUMIFS(Depenses!$E:$E,Depenses!$B:$B,A188))</f>
        <v/>
      </c>
      <c r="H188">
        <f>IF(A188="","",COUNTIFS($A:$A,A188,$D:$D,1))</f>
        <v/>
      </c>
      <c r="I188" s="6">
        <f>IF(A188="","",IF(AND(D188=1,H188&gt;0),G188/H188,0))</f>
        <v/>
      </c>
      <c r="J188" s="6">
        <f>IF(A188="","",C188+F188-I188)</f>
        <v/>
      </c>
      <c r="K188" s="9" t="n"/>
    </row>
    <row r="189">
      <c r="C189" s="6" t="n"/>
      <c r="F189" s="6">
        <f>IF(A189="","",SUMIFS(Depenses!$E:$E,Depenses!$B:$B,A189,Depenses!$F:$F,B189))</f>
        <v/>
      </c>
      <c r="G189" s="6">
        <f>IF(A189="","",SUMIFS(Depenses!$E:$E,Depenses!$B:$B,A189))</f>
        <v/>
      </c>
      <c r="H189">
        <f>IF(A189="","",COUNTIFS($A:$A,A189,$D:$D,1))</f>
        <v/>
      </c>
      <c r="I189" s="6">
        <f>IF(A189="","",IF(AND(D189=1,H189&gt;0),G189/H189,0))</f>
        <v/>
      </c>
      <c r="J189" s="6">
        <f>IF(A189="","",C189+F189-I189)</f>
        <v/>
      </c>
      <c r="K189" s="9" t="n"/>
    </row>
    <row r="190">
      <c r="C190" s="6" t="n"/>
      <c r="F190" s="6">
        <f>IF(A190="","",SUMIFS(Depenses!$E:$E,Depenses!$B:$B,A190,Depenses!$F:$F,B190))</f>
        <v/>
      </c>
      <c r="G190" s="6">
        <f>IF(A190="","",SUMIFS(Depenses!$E:$E,Depenses!$B:$B,A190))</f>
        <v/>
      </c>
      <c r="H190">
        <f>IF(A190="","",COUNTIFS($A:$A,A190,$D:$D,1))</f>
        <v/>
      </c>
      <c r="I190" s="6">
        <f>IF(A190="","",IF(AND(D190=1,H190&gt;0),G190/H190,0))</f>
        <v/>
      </c>
      <c r="J190" s="6">
        <f>IF(A190="","",C190+F190-I190)</f>
        <v/>
      </c>
      <c r="K190" s="9" t="n"/>
    </row>
    <row r="191">
      <c r="C191" s="6" t="n"/>
      <c r="F191" s="6">
        <f>IF(A191="","",SUMIFS(Depenses!$E:$E,Depenses!$B:$B,A191,Depenses!$F:$F,B191))</f>
        <v/>
      </c>
      <c r="G191" s="6">
        <f>IF(A191="","",SUMIFS(Depenses!$E:$E,Depenses!$B:$B,A191))</f>
        <v/>
      </c>
      <c r="H191">
        <f>IF(A191="","",COUNTIFS($A:$A,A191,$D:$D,1))</f>
        <v/>
      </c>
      <c r="I191" s="6">
        <f>IF(A191="","",IF(AND(D191=1,H191&gt;0),G191/H191,0))</f>
        <v/>
      </c>
      <c r="J191" s="6">
        <f>IF(A191="","",C191+F191-I191)</f>
        <v/>
      </c>
      <c r="K191" s="9" t="n"/>
    </row>
    <row r="192">
      <c r="C192" s="6" t="n"/>
      <c r="F192" s="6">
        <f>IF(A192="","",SUMIFS(Depenses!$E:$E,Depenses!$B:$B,A192,Depenses!$F:$F,B192))</f>
        <v/>
      </c>
      <c r="G192" s="6">
        <f>IF(A192="","",SUMIFS(Depenses!$E:$E,Depenses!$B:$B,A192))</f>
        <v/>
      </c>
      <c r="H192">
        <f>IF(A192="","",COUNTIFS($A:$A,A192,$D:$D,1))</f>
        <v/>
      </c>
      <c r="I192" s="6">
        <f>IF(A192="","",IF(AND(D192=1,H192&gt;0),G192/H192,0))</f>
        <v/>
      </c>
      <c r="J192" s="6">
        <f>IF(A192="","",C192+F192-I192)</f>
        <v/>
      </c>
      <c r="K192" s="9" t="n"/>
    </row>
    <row r="193">
      <c r="C193" s="6" t="n"/>
      <c r="F193" s="6">
        <f>IF(A193="","",SUMIFS(Depenses!$E:$E,Depenses!$B:$B,A193,Depenses!$F:$F,B193))</f>
        <v/>
      </c>
      <c r="G193" s="6">
        <f>IF(A193="","",SUMIFS(Depenses!$E:$E,Depenses!$B:$B,A193))</f>
        <v/>
      </c>
      <c r="H193">
        <f>IF(A193="","",COUNTIFS($A:$A,A193,$D:$D,1))</f>
        <v/>
      </c>
      <c r="I193" s="6">
        <f>IF(A193="","",IF(AND(D193=1,H193&gt;0),G193/H193,0))</f>
        <v/>
      </c>
      <c r="J193" s="6">
        <f>IF(A193="","",C193+F193-I193)</f>
        <v/>
      </c>
      <c r="K193" s="9" t="n"/>
    </row>
    <row r="194">
      <c r="C194" s="6" t="n"/>
      <c r="F194" s="6">
        <f>IF(A194="","",SUMIFS(Depenses!$E:$E,Depenses!$B:$B,A194,Depenses!$F:$F,B194))</f>
        <v/>
      </c>
      <c r="G194" s="6">
        <f>IF(A194="","",SUMIFS(Depenses!$E:$E,Depenses!$B:$B,A194))</f>
        <v/>
      </c>
      <c r="H194">
        <f>IF(A194="","",COUNTIFS($A:$A,A194,$D:$D,1))</f>
        <v/>
      </c>
      <c r="I194" s="6">
        <f>IF(A194="","",IF(AND(D194=1,H194&gt;0),G194/H194,0))</f>
        <v/>
      </c>
      <c r="J194" s="6">
        <f>IF(A194="","",C194+F194-I194)</f>
        <v/>
      </c>
      <c r="K194" s="9" t="n"/>
    </row>
    <row r="195">
      <c r="C195" s="6" t="n"/>
      <c r="F195" s="6">
        <f>IF(A195="","",SUMIFS(Depenses!$E:$E,Depenses!$B:$B,A195,Depenses!$F:$F,B195))</f>
        <v/>
      </c>
      <c r="G195" s="6">
        <f>IF(A195="","",SUMIFS(Depenses!$E:$E,Depenses!$B:$B,A195))</f>
        <v/>
      </c>
      <c r="H195">
        <f>IF(A195="","",COUNTIFS($A:$A,A195,$D:$D,1))</f>
        <v/>
      </c>
      <c r="I195" s="6">
        <f>IF(A195="","",IF(AND(D195=1,H195&gt;0),G195/H195,0))</f>
        <v/>
      </c>
      <c r="J195" s="6">
        <f>IF(A195="","",C195+F195-I195)</f>
        <v/>
      </c>
      <c r="K195" s="9" t="n"/>
    </row>
    <row r="196">
      <c r="C196" s="6" t="n"/>
      <c r="F196" s="6">
        <f>IF(A196="","",SUMIFS(Depenses!$E:$E,Depenses!$B:$B,A196,Depenses!$F:$F,B196))</f>
        <v/>
      </c>
      <c r="G196" s="6">
        <f>IF(A196="","",SUMIFS(Depenses!$E:$E,Depenses!$B:$B,A196))</f>
        <v/>
      </c>
      <c r="H196">
        <f>IF(A196="","",COUNTIFS($A:$A,A196,$D:$D,1))</f>
        <v/>
      </c>
      <c r="I196" s="6">
        <f>IF(A196="","",IF(AND(D196=1,H196&gt;0),G196/H196,0))</f>
        <v/>
      </c>
      <c r="J196" s="6">
        <f>IF(A196="","",C196+F196-I196)</f>
        <v/>
      </c>
      <c r="K196" s="9" t="n"/>
    </row>
    <row r="197">
      <c r="C197" s="6" t="n"/>
      <c r="F197" s="6">
        <f>IF(A197="","",SUMIFS(Depenses!$E:$E,Depenses!$B:$B,A197,Depenses!$F:$F,B197))</f>
        <v/>
      </c>
      <c r="G197" s="6">
        <f>IF(A197="","",SUMIFS(Depenses!$E:$E,Depenses!$B:$B,A197))</f>
        <v/>
      </c>
      <c r="H197">
        <f>IF(A197="","",COUNTIFS($A:$A,A197,$D:$D,1))</f>
        <v/>
      </c>
      <c r="I197" s="6">
        <f>IF(A197="","",IF(AND(D197=1,H197&gt;0),G197/H197,0))</f>
        <v/>
      </c>
      <c r="J197" s="6">
        <f>IF(A197="","",C197+F197-I197)</f>
        <v/>
      </c>
      <c r="K197" s="9" t="n"/>
    </row>
    <row r="198">
      <c r="C198" s="6" t="n"/>
      <c r="F198" s="6">
        <f>IF(A198="","",SUMIFS(Depenses!$E:$E,Depenses!$B:$B,A198,Depenses!$F:$F,B198))</f>
        <v/>
      </c>
      <c r="G198" s="6">
        <f>IF(A198="","",SUMIFS(Depenses!$E:$E,Depenses!$B:$B,A198))</f>
        <v/>
      </c>
      <c r="H198">
        <f>IF(A198="","",COUNTIFS($A:$A,A198,$D:$D,1))</f>
        <v/>
      </c>
      <c r="I198" s="6">
        <f>IF(A198="","",IF(AND(D198=1,H198&gt;0),G198/H198,0))</f>
        <v/>
      </c>
      <c r="J198" s="6">
        <f>IF(A198="","",C198+F198-I198)</f>
        <v/>
      </c>
      <c r="K198" s="9" t="n"/>
    </row>
    <row r="199">
      <c r="C199" s="6" t="n"/>
      <c r="F199" s="6">
        <f>IF(A199="","",SUMIFS(Depenses!$E:$E,Depenses!$B:$B,A199,Depenses!$F:$F,B199))</f>
        <v/>
      </c>
      <c r="G199" s="6">
        <f>IF(A199="","",SUMIFS(Depenses!$E:$E,Depenses!$B:$B,A199))</f>
        <v/>
      </c>
      <c r="H199">
        <f>IF(A199="","",COUNTIFS($A:$A,A199,$D:$D,1))</f>
        <v/>
      </c>
      <c r="I199" s="6">
        <f>IF(A199="","",IF(AND(D199=1,H199&gt;0),G199/H199,0))</f>
        <v/>
      </c>
      <c r="J199" s="6">
        <f>IF(A199="","",C199+F199-I199)</f>
        <v/>
      </c>
      <c r="K199" s="9" t="n"/>
    </row>
    <row r="200">
      <c r="C200" s="6" t="n"/>
      <c r="F200" s="6">
        <f>IF(A200="","",SUMIFS(Depenses!$E:$E,Depenses!$B:$B,A200,Depenses!$F:$F,B200))</f>
        <v/>
      </c>
      <c r="G200" s="6">
        <f>IF(A200="","",SUMIFS(Depenses!$E:$E,Depenses!$B:$B,A200))</f>
        <v/>
      </c>
      <c r="H200">
        <f>IF(A200="","",COUNTIFS($A:$A,A200,$D:$D,1))</f>
        <v/>
      </c>
      <c r="I200" s="6">
        <f>IF(A200="","",IF(AND(D200=1,H200&gt;0),G200/H200,0))</f>
        <v/>
      </c>
      <c r="J200" s="6">
        <f>IF(A200="","",C200+F200-I200)</f>
        <v/>
      </c>
      <c r="K200" s="9" t="n"/>
    </row>
    <row r="201">
      <c r="C201" s="6" t="n"/>
      <c r="F201" s="6">
        <f>IF(A201="","",SUMIFS(Depenses!$E:$E,Depenses!$B:$B,A201,Depenses!$F:$F,B201))</f>
        <v/>
      </c>
      <c r="G201" s="6">
        <f>IF(A201="","",SUMIFS(Depenses!$E:$E,Depenses!$B:$B,A201))</f>
        <v/>
      </c>
      <c r="H201">
        <f>IF(A201="","",COUNTIFS($A:$A,A201,$D:$D,1))</f>
        <v/>
      </c>
      <c r="I201" s="6">
        <f>IF(A201="","",IF(AND(D201=1,H201&gt;0),G201/H201,0))</f>
        <v/>
      </c>
      <c r="J201" s="6">
        <f>IF(A201="","",C201+F201-I201)</f>
        <v/>
      </c>
      <c r="K201" s="9" t="n"/>
    </row>
    <row r="202">
      <c r="C202" s="6" t="n"/>
      <c r="F202" s="6">
        <f>IF(A202="","",SUMIFS(Depenses!$E:$E,Depenses!$B:$B,A202,Depenses!$F:$F,B202))</f>
        <v/>
      </c>
      <c r="G202" s="6">
        <f>IF(A202="","",SUMIFS(Depenses!$E:$E,Depenses!$B:$B,A202))</f>
        <v/>
      </c>
      <c r="H202">
        <f>IF(A202="","",COUNTIFS($A:$A,A202,$D:$D,1))</f>
        <v/>
      </c>
      <c r="I202" s="6">
        <f>IF(A202="","",IF(AND(D202=1,H202&gt;0),G202/H202,0))</f>
        <v/>
      </c>
      <c r="J202" s="6">
        <f>IF(A202="","",C202+F202-I202)</f>
        <v/>
      </c>
      <c r="K202" s="9" t="n"/>
    </row>
    <row r="203">
      <c r="C203" s="6" t="n"/>
      <c r="F203" s="6">
        <f>IF(A203="","",SUMIFS(Depenses!$E:$E,Depenses!$B:$B,A203,Depenses!$F:$F,B203))</f>
        <v/>
      </c>
      <c r="G203" s="6">
        <f>IF(A203="","",SUMIFS(Depenses!$E:$E,Depenses!$B:$B,A203))</f>
        <v/>
      </c>
      <c r="H203">
        <f>IF(A203="","",COUNTIFS($A:$A,A203,$D:$D,1))</f>
        <v/>
      </c>
      <c r="I203" s="6">
        <f>IF(A203="","",IF(AND(D203=1,H203&gt;0),G203/H203,0))</f>
        <v/>
      </c>
      <c r="J203" s="6">
        <f>IF(A203="","",C203+F203-I203)</f>
        <v/>
      </c>
      <c r="K203" s="9" t="n"/>
    </row>
    <row r="204">
      <c r="C204" s="6" t="n"/>
      <c r="F204" s="6">
        <f>IF(A204="","",SUMIFS(Depenses!$E:$E,Depenses!$B:$B,A204,Depenses!$F:$F,B204))</f>
        <v/>
      </c>
      <c r="G204" s="6">
        <f>IF(A204="","",SUMIFS(Depenses!$E:$E,Depenses!$B:$B,A204))</f>
        <v/>
      </c>
      <c r="H204">
        <f>IF(A204="","",COUNTIFS($A:$A,A204,$D:$D,1))</f>
        <v/>
      </c>
      <c r="I204" s="6">
        <f>IF(A204="","",IF(AND(D204=1,H204&gt;0),G204/H204,0))</f>
        <v/>
      </c>
      <c r="J204" s="6">
        <f>IF(A204="","",C204+F204-I204)</f>
        <v/>
      </c>
      <c r="K204" s="9" t="n"/>
    </row>
    <row r="205">
      <c r="C205" s="6" t="n"/>
      <c r="F205" s="6">
        <f>IF(A205="","",SUMIFS(Depenses!$E:$E,Depenses!$B:$B,A205,Depenses!$F:$F,B205))</f>
        <v/>
      </c>
      <c r="G205" s="6">
        <f>IF(A205="","",SUMIFS(Depenses!$E:$E,Depenses!$B:$B,A205))</f>
        <v/>
      </c>
      <c r="H205">
        <f>IF(A205="","",COUNTIFS($A:$A,A205,$D:$D,1))</f>
        <v/>
      </c>
      <c r="I205" s="6">
        <f>IF(A205="","",IF(AND(D205=1,H205&gt;0),G205/H205,0))</f>
        <v/>
      </c>
      <c r="J205" s="6">
        <f>IF(A205="","",C205+F205-I205)</f>
        <v/>
      </c>
      <c r="K205" s="9" t="n"/>
    </row>
    <row r="206">
      <c r="C206" s="6" t="n"/>
      <c r="F206" s="6">
        <f>IF(A206="","",SUMIFS(Depenses!$E:$E,Depenses!$B:$B,A206,Depenses!$F:$F,B206))</f>
        <v/>
      </c>
      <c r="G206" s="6">
        <f>IF(A206="","",SUMIFS(Depenses!$E:$E,Depenses!$B:$B,A206))</f>
        <v/>
      </c>
      <c r="H206">
        <f>IF(A206="","",COUNTIFS($A:$A,A206,$D:$D,1))</f>
        <v/>
      </c>
      <c r="I206" s="6">
        <f>IF(A206="","",IF(AND(D206=1,H206&gt;0),G206/H206,0))</f>
        <v/>
      </c>
      <c r="J206" s="6">
        <f>IF(A206="","",C206+F206-I206)</f>
        <v/>
      </c>
      <c r="K206" s="9" t="n"/>
    </row>
    <row r="207">
      <c r="C207" s="6" t="n"/>
      <c r="F207" s="6">
        <f>IF(A207="","",SUMIFS(Depenses!$E:$E,Depenses!$B:$B,A207,Depenses!$F:$F,B207))</f>
        <v/>
      </c>
      <c r="G207" s="6">
        <f>IF(A207="","",SUMIFS(Depenses!$E:$E,Depenses!$B:$B,A207))</f>
        <v/>
      </c>
      <c r="H207">
        <f>IF(A207="","",COUNTIFS($A:$A,A207,$D:$D,1))</f>
        <v/>
      </c>
      <c r="I207" s="6">
        <f>IF(A207="","",IF(AND(D207=1,H207&gt;0),G207/H207,0))</f>
        <v/>
      </c>
      <c r="J207" s="6">
        <f>IF(A207="","",C207+F207-I207)</f>
        <v/>
      </c>
      <c r="K207" s="9" t="n"/>
    </row>
    <row r="208">
      <c r="C208" s="6" t="n"/>
      <c r="F208" s="6">
        <f>IF(A208="","",SUMIFS(Depenses!$E:$E,Depenses!$B:$B,A208,Depenses!$F:$F,B208))</f>
        <v/>
      </c>
      <c r="G208" s="6">
        <f>IF(A208="","",SUMIFS(Depenses!$E:$E,Depenses!$B:$B,A208))</f>
        <v/>
      </c>
      <c r="H208">
        <f>IF(A208="","",COUNTIFS($A:$A,A208,$D:$D,1))</f>
        <v/>
      </c>
      <c r="I208" s="6">
        <f>IF(A208="","",IF(AND(D208=1,H208&gt;0),G208/H208,0))</f>
        <v/>
      </c>
      <c r="J208" s="6">
        <f>IF(A208="","",C208+F208-I208)</f>
        <v/>
      </c>
      <c r="K208" s="9" t="n"/>
    </row>
    <row r="209">
      <c r="C209" s="6" t="n"/>
      <c r="F209" s="6">
        <f>IF(A209="","",SUMIFS(Depenses!$E:$E,Depenses!$B:$B,A209,Depenses!$F:$F,B209))</f>
        <v/>
      </c>
      <c r="G209" s="6">
        <f>IF(A209="","",SUMIFS(Depenses!$E:$E,Depenses!$B:$B,A209))</f>
        <v/>
      </c>
      <c r="H209">
        <f>IF(A209="","",COUNTIFS($A:$A,A209,$D:$D,1))</f>
        <v/>
      </c>
      <c r="I209" s="6">
        <f>IF(A209="","",IF(AND(D209=1,H209&gt;0),G209/H209,0))</f>
        <v/>
      </c>
      <c r="J209" s="6">
        <f>IF(A209="","",C209+F209-I209)</f>
        <v/>
      </c>
      <c r="K209" s="9" t="n"/>
    </row>
    <row r="210">
      <c r="C210" s="6" t="n"/>
      <c r="F210" s="6">
        <f>IF(A210="","",SUMIFS(Depenses!$E:$E,Depenses!$B:$B,A210,Depenses!$F:$F,B210))</f>
        <v/>
      </c>
      <c r="G210" s="6">
        <f>IF(A210="","",SUMIFS(Depenses!$E:$E,Depenses!$B:$B,A210))</f>
        <v/>
      </c>
      <c r="H210">
        <f>IF(A210="","",COUNTIFS($A:$A,A210,$D:$D,1))</f>
        <v/>
      </c>
      <c r="I210" s="6">
        <f>IF(A210="","",IF(AND(D210=1,H210&gt;0),G210/H210,0))</f>
        <v/>
      </c>
      <c r="J210" s="6">
        <f>IF(A210="","",C210+F210-I210)</f>
        <v/>
      </c>
      <c r="K210" s="9" t="n"/>
    </row>
    <row r="211">
      <c r="C211" s="6" t="n"/>
      <c r="F211" s="6">
        <f>IF(A211="","",SUMIFS(Depenses!$E:$E,Depenses!$B:$B,A211,Depenses!$F:$F,B211))</f>
        <v/>
      </c>
      <c r="G211" s="6">
        <f>IF(A211="","",SUMIFS(Depenses!$E:$E,Depenses!$B:$B,A211))</f>
        <v/>
      </c>
      <c r="H211">
        <f>IF(A211="","",COUNTIFS($A:$A,A211,$D:$D,1))</f>
        <v/>
      </c>
      <c r="I211" s="6">
        <f>IF(A211="","",IF(AND(D211=1,H211&gt;0),G211/H211,0))</f>
        <v/>
      </c>
      <c r="J211" s="6">
        <f>IF(A211="","",C211+F211-I211)</f>
        <v/>
      </c>
      <c r="K211" s="9" t="n"/>
    </row>
    <row r="212">
      <c r="C212" s="6" t="n"/>
      <c r="F212" s="6">
        <f>IF(A212="","",SUMIFS(Depenses!$E:$E,Depenses!$B:$B,A212,Depenses!$F:$F,B212))</f>
        <v/>
      </c>
      <c r="G212" s="6">
        <f>IF(A212="","",SUMIFS(Depenses!$E:$E,Depenses!$B:$B,A212))</f>
        <v/>
      </c>
      <c r="H212">
        <f>IF(A212="","",COUNTIFS($A:$A,A212,$D:$D,1))</f>
        <v/>
      </c>
      <c r="I212" s="6">
        <f>IF(A212="","",IF(AND(D212=1,H212&gt;0),G212/H212,0))</f>
        <v/>
      </c>
      <c r="J212" s="6">
        <f>IF(A212="","",C212+F212-I212)</f>
        <v/>
      </c>
      <c r="K212" s="9" t="n"/>
    </row>
    <row r="213">
      <c r="C213" s="6" t="n"/>
      <c r="F213" s="6">
        <f>IF(A213="","",SUMIFS(Depenses!$E:$E,Depenses!$B:$B,A213,Depenses!$F:$F,B213))</f>
        <v/>
      </c>
      <c r="G213" s="6">
        <f>IF(A213="","",SUMIFS(Depenses!$E:$E,Depenses!$B:$B,A213))</f>
        <v/>
      </c>
      <c r="H213">
        <f>IF(A213="","",COUNTIFS($A:$A,A213,$D:$D,1))</f>
        <v/>
      </c>
      <c r="I213" s="6">
        <f>IF(A213="","",IF(AND(D213=1,H213&gt;0),G213/H213,0))</f>
        <v/>
      </c>
      <c r="J213" s="6">
        <f>IF(A213="","",C213+F213-I213)</f>
        <v/>
      </c>
      <c r="K213" s="9" t="n"/>
    </row>
    <row r="214">
      <c r="C214" s="6" t="n"/>
      <c r="F214" s="6">
        <f>IF(A214="","",SUMIFS(Depenses!$E:$E,Depenses!$B:$B,A214,Depenses!$F:$F,B214))</f>
        <v/>
      </c>
      <c r="G214" s="6">
        <f>IF(A214="","",SUMIFS(Depenses!$E:$E,Depenses!$B:$B,A214))</f>
        <v/>
      </c>
      <c r="H214">
        <f>IF(A214="","",COUNTIFS($A:$A,A214,$D:$D,1))</f>
        <v/>
      </c>
      <c r="I214" s="6">
        <f>IF(A214="","",IF(AND(D214=1,H214&gt;0),G214/H214,0))</f>
        <v/>
      </c>
      <c r="J214" s="6">
        <f>IF(A214="","",C214+F214-I214)</f>
        <v/>
      </c>
      <c r="K214" s="9" t="n"/>
    </row>
    <row r="215">
      <c r="C215" s="6" t="n"/>
      <c r="F215" s="6">
        <f>IF(A215="","",SUMIFS(Depenses!$E:$E,Depenses!$B:$B,A215,Depenses!$F:$F,B215))</f>
        <v/>
      </c>
      <c r="G215" s="6">
        <f>IF(A215="","",SUMIFS(Depenses!$E:$E,Depenses!$B:$B,A215))</f>
        <v/>
      </c>
      <c r="H215">
        <f>IF(A215="","",COUNTIFS($A:$A,A215,$D:$D,1))</f>
        <v/>
      </c>
      <c r="I215" s="6">
        <f>IF(A215="","",IF(AND(D215=1,H215&gt;0),G215/H215,0))</f>
        <v/>
      </c>
      <c r="J215" s="6">
        <f>IF(A215="","",C215+F215-I215)</f>
        <v/>
      </c>
      <c r="K215" s="9" t="n"/>
    </row>
    <row r="216">
      <c r="C216" s="6" t="n"/>
      <c r="F216" s="6">
        <f>IF(A216="","",SUMIFS(Depenses!$E:$E,Depenses!$B:$B,A216,Depenses!$F:$F,B216))</f>
        <v/>
      </c>
      <c r="G216" s="6">
        <f>IF(A216="","",SUMIFS(Depenses!$E:$E,Depenses!$B:$B,A216))</f>
        <v/>
      </c>
      <c r="H216">
        <f>IF(A216="","",COUNTIFS($A:$A,A216,$D:$D,1))</f>
        <v/>
      </c>
      <c r="I216" s="6">
        <f>IF(A216="","",IF(AND(D216=1,H216&gt;0),G216/H216,0))</f>
        <v/>
      </c>
      <c r="J216" s="6">
        <f>IF(A216="","",C216+F216-I216)</f>
        <v/>
      </c>
      <c r="K216" s="9" t="n"/>
    </row>
    <row r="217">
      <c r="C217" s="6" t="n"/>
      <c r="F217" s="6">
        <f>IF(A217="","",SUMIFS(Depenses!$E:$E,Depenses!$B:$B,A217,Depenses!$F:$F,B217))</f>
        <v/>
      </c>
      <c r="G217" s="6">
        <f>IF(A217="","",SUMIFS(Depenses!$E:$E,Depenses!$B:$B,A217))</f>
        <v/>
      </c>
      <c r="H217">
        <f>IF(A217="","",COUNTIFS($A:$A,A217,$D:$D,1))</f>
        <v/>
      </c>
      <c r="I217" s="6">
        <f>IF(A217="","",IF(AND(D217=1,H217&gt;0),G217/H217,0))</f>
        <v/>
      </c>
      <c r="J217" s="6">
        <f>IF(A217="","",C217+F217-I217)</f>
        <v/>
      </c>
      <c r="K217" s="9" t="n"/>
    </row>
    <row r="218">
      <c r="C218" s="6" t="n"/>
      <c r="F218" s="6">
        <f>IF(A218="","",SUMIFS(Depenses!$E:$E,Depenses!$B:$B,A218,Depenses!$F:$F,B218))</f>
        <v/>
      </c>
      <c r="G218" s="6">
        <f>IF(A218="","",SUMIFS(Depenses!$E:$E,Depenses!$B:$B,A218))</f>
        <v/>
      </c>
      <c r="H218">
        <f>IF(A218="","",COUNTIFS($A:$A,A218,$D:$D,1))</f>
        <v/>
      </c>
      <c r="I218" s="6">
        <f>IF(A218="","",IF(AND(D218=1,H218&gt;0),G218/H218,0))</f>
        <v/>
      </c>
      <c r="J218" s="6">
        <f>IF(A218="","",C218+F218-I218)</f>
        <v/>
      </c>
      <c r="K218" s="9" t="n"/>
    </row>
    <row r="219">
      <c r="C219" s="6" t="n"/>
      <c r="F219" s="6">
        <f>IF(A219="","",SUMIFS(Depenses!$E:$E,Depenses!$B:$B,A219,Depenses!$F:$F,B219))</f>
        <v/>
      </c>
      <c r="G219" s="6">
        <f>IF(A219="","",SUMIFS(Depenses!$E:$E,Depenses!$B:$B,A219))</f>
        <v/>
      </c>
      <c r="H219">
        <f>IF(A219="","",COUNTIFS($A:$A,A219,$D:$D,1))</f>
        <v/>
      </c>
      <c r="I219" s="6">
        <f>IF(A219="","",IF(AND(D219=1,H219&gt;0),G219/H219,0))</f>
        <v/>
      </c>
      <c r="J219" s="6">
        <f>IF(A219="","",C219+F219-I219)</f>
        <v/>
      </c>
      <c r="K219" s="9" t="n"/>
    </row>
    <row r="220">
      <c r="C220" s="6" t="n"/>
      <c r="F220" s="6">
        <f>IF(A220="","",SUMIFS(Depenses!$E:$E,Depenses!$B:$B,A220,Depenses!$F:$F,B220))</f>
        <v/>
      </c>
      <c r="G220" s="6">
        <f>IF(A220="","",SUMIFS(Depenses!$E:$E,Depenses!$B:$B,A220))</f>
        <v/>
      </c>
      <c r="H220">
        <f>IF(A220="","",COUNTIFS($A:$A,A220,$D:$D,1))</f>
        <v/>
      </c>
      <c r="I220" s="6">
        <f>IF(A220="","",IF(AND(D220=1,H220&gt;0),G220/H220,0))</f>
        <v/>
      </c>
      <c r="J220" s="6">
        <f>IF(A220="","",C220+F220-I220)</f>
        <v/>
      </c>
      <c r="K220" s="9" t="n"/>
    </row>
    <row r="221">
      <c r="C221" s="6" t="n"/>
      <c r="F221" s="6">
        <f>IF(A221="","",SUMIFS(Depenses!$E:$E,Depenses!$B:$B,A221,Depenses!$F:$F,B221))</f>
        <v/>
      </c>
      <c r="G221" s="6">
        <f>IF(A221="","",SUMIFS(Depenses!$E:$E,Depenses!$B:$B,A221))</f>
        <v/>
      </c>
      <c r="H221">
        <f>IF(A221="","",COUNTIFS($A:$A,A221,$D:$D,1))</f>
        <v/>
      </c>
      <c r="I221" s="6">
        <f>IF(A221="","",IF(AND(D221=1,H221&gt;0),G221/H221,0))</f>
        <v/>
      </c>
      <c r="J221" s="6">
        <f>IF(A221="","",C221+F221-I221)</f>
        <v/>
      </c>
      <c r="K221" s="9" t="n"/>
    </row>
    <row r="222">
      <c r="C222" s="6" t="n"/>
      <c r="F222" s="6">
        <f>IF(A222="","",SUMIFS(Depenses!$E:$E,Depenses!$B:$B,A222,Depenses!$F:$F,B222))</f>
        <v/>
      </c>
      <c r="G222" s="6">
        <f>IF(A222="","",SUMIFS(Depenses!$E:$E,Depenses!$B:$B,A222))</f>
        <v/>
      </c>
      <c r="H222">
        <f>IF(A222="","",COUNTIFS($A:$A,A222,$D:$D,1))</f>
        <v/>
      </c>
      <c r="I222" s="6">
        <f>IF(A222="","",IF(AND(D222=1,H222&gt;0),G222/H222,0))</f>
        <v/>
      </c>
      <c r="J222" s="6">
        <f>IF(A222="","",C222+F222-I222)</f>
        <v/>
      </c>
      <c r="K222" s="9" t="n"/>
    </row>
    <row r="223">
      <c r="C223" s="6" t="n"/>
      <c r="F223" s="6">
        <f>IF(A223="","",SUMIFS(Depenses!$E:$E,Depenses!$B:$B,A223,Depenses!$F:$F,B223))</f>
        <v/>
      </c>
      <c r="G223" s="6">
        <f>IF(A223="","",SUMIFS(Depenses!$E:$E,Depenses!$B:$B,A223))</f>
        <v/>
      </c>
      <c r="H223">
        <f>IF(A223="","",COUNTIFS($A:$A,A223,$D:$D,1))</f>
        <v/>
      </c>
      <c r="I223" s="6">
        <f>IF(A223="","",IF(AND(D223=1,H223&gt;0),G223/H223,0))</f>
        <v/>
      </c>
      <c r="J223" s="6">
        <f>IF(A223="","",C223+F223-I223)</f>
        <v/>
      </c>
      <c r="K223" s="9" t="n"/>
    </row>
    <row r="224">
      <c r="C224" s="6" t="n"/>
      <c r="F224" s="6">
        <f>IF(A224="","",SUMIFS(Depenses!$E:$E,Depenses!$B:$B,A224,Depenses!$F:$F,B224))</f>
        <v/>
      </c>
      <c r="G224" s="6">
        <f>IF(A224="","",SUMIFS(Depenses!$E:$E,Depenses!$B:$B,A224))</f>
        <v/>
      </c>
      <c r="H224">
        <f>IF(A224="","",COUNTIFS($A:$A,A224,$D:$D,1))</f>
        <v/>
      </c>
      <c r="I224" s="6">
        <f>IF(A224="","",IF(AND(D224=1,H224&gt;0),G224/H224,0))</f>
        <v/>
      </c>
      <c r="J224" s="6">
        <f>IF(A224="","",C224+F224-I224)</f>
        <v/>
      </c>
      <c r="K224" s="9" t="n"/>
    </row>
    <row r="225">
      <c r="C225" s="6" t="n"/>
      <c r="F225" s="6">
        <f>IF(A225="","",SUMIFS(Depenses!$E:$E,Depenses!$B:$B,A225,Depenses!$F:$F,B225))</f>
        <v/>
      </c>
      <c r="G225" s="6">
        <f>IF(A225="","",SUMIFS(Depenses!$E:$E,Depenses!$B:$B,A225))</f>
        <v/>
      </c>
      <c r="H225">
        <f>IF(A225="","",COUNTIFS($A:$A,A225,$D:$D,1))</f>
        <v/>
      </c>
      <c r="I225" s="6">
        <f>IF(A225="","",IF(AND(D225=1,H225&gt;0),G225/H225,0))</f>
        <v/>
      </c>
      <c r="J225" s="6">
        <f>IF(A225="","",C225+F225-I225)</f>
        <v/>
      </c>
      <c r="K225" s="9" t="n"/>
    </row>
    <row r="226">
      <c r="C226" s="6" t="n"/>
      <c r="F226" s="6">
        <f>IF(A226="","",SUMIFS(Depenses!$E:$E,Depenses!$B:$B,A226,Depenses!$F:$F,B226))</f>
        <v/>
      </c>
      <c r="G226" s="6">
        <f>IF(A226="","",SUMIFS(Depenses!$E:$E,Depenses!$B:$B,A226))</f>
        <v/>
      </c>
      <c r="H226">
        <f>IF(A226="","",COUNTIFS($A:$A,A226,$D:$D,1))</f>
        <v/>
      </c>
      <c r="I226" s="6">
        <f>IF(A226="","",IF(AND(D226=1,H226&gt;0),G226/H226,0))</f>
        <v/>
      </c>
      <c r="J226" s="6">
        <f>IF(A226="","",C226+F226-I226)</f>
        <v/>
      </c>
      <c r="K226" s="9" t="n"/>
    </row>
    <row r="227">
      <c r="C227" s="6" t="n"/>
      <c r="F227" s="6">
        <f>IF(A227="","",SUMIFS(Depenses!$E:$E,Depenses!$B:$B,A227,Depenses!$F:$F,B227))</f>
        <v/>
      </c>
      <c r="G227" s="6">
        <f>IF(A227="","",SUMIFS(Depenses!$E:$E,Depenses!$B:$B,A227))</f>
        <v/>
      </c>
      <c r="H227">
        <f>IF(A227="","",COUNTIFS($A:$A,A227,$D:$D,1))</f>
        <v/>
      </c>
      <c r="I227" s="6">
        <f>IF(A227="","",IF(AND(D227=1,H227&gt;0),G227/H227,0))</f>
        <v/>
      </c>
      <c r="J227" s="6">
        <f>IF(A227="","",C227+F227-I227)</f>
        <v/>
      </c>
      <c r="K227" s="9" t="n"/>
    </row>
    <row r="228">
      <c r="C228" s="6" t="n"/>
      <c r="F228" s="6">
        <f>IF(A228="","",SUMIFS(Depenses!$E:$E,Depenses!$B:$B,A228,Depenses!$F:$F,B228))</f>
        <v/>
      </c>
      <c r="G228" s="6">
        <f>IF(A228="","",SUMIFS(Depenses!$E:$E,Depenses!$B:$B,A228))</f>
        <v/>
      </c>
      <c r="H228">
        <f>IF(A228="","",COUNTIFS($A:$A,A228,$D:$D,1))</f>
        <v/>
      </c>
      <c r="I228" s="6">
        <f>IF(A228="","",IF(AND(D228=1,H228&gt;0),G228/H228,0))</f>
        <v/>
      </c>
      <c r="J228" s="6">
        <f>IF(A228="","",C228+F228-I228)</f>
        <v/>
      </c>
      <c r="K228" s="9" t="n"/>
    </row>
    <row r="229">
      <c r="C229" s="6" t="n"/>
      <c r="F229" s="6">
        <f>IF(A229="","",SUMIFS(Depenses!$E:$E,Depenses!$B:$B,A229,Depenses!$F:$F,B229))</f>
        <v/>
      </c>
      <c r="G229" s="6">
        <f>IF(A229="","",SUMIFS(Depenses!$E:$E,Depenses!$B:$B,A229))</f>
        <v/>
      </c>
      <c r="H229">
        <f>IF(A229="","",COUNTIFS($A:$A,A229,$D:$D,1))</f>
        <v/>
      </c>
      <c r="I229" s="6">
        <f>IF(A229="","",IF(AND(D229=1,H229&gt;0),G229/H229,0))</f>
        <v/>
      </c>
      <c r="J229" s="6">
        <f>IF(A229="","",C229+F229-I229)</f>
        <v/>
      </c>
      <c r="K229" s="9" t="n"/>
    </row>
    <row r="230">
      <c r="C230" s="6" t="n"/>
      <c r="F230" s="6">
        <f>IF(A230="","",SUMIFS(Depenses!$E:$E,Depenses!$B:$B,A230,Depenses!$F:$F,B230))</f>
        <v/>
      </c>
      <c r="G230" s="6">
        <f>IF(A230="","",SUMIFS(Depenses!$E:$E,Depenses!$B:$B,A230))</f>
        <v/>
      </c>
      <c r="H230">
        <f>IF(A230="","",COUNTIFS($A:$A,A230,$D:$D,1))</f>
        <v/>
      </c>
      <c r="I230" s="6">
        <f>IF(A230="","",IF(AND(D230=1,H230&gt;0),G230/H230,0))</f>
        <v/>
      </c>
      <c r="J230" s="6">
        <f>IF(A230="","",C230+F230-I230)</f>
        <v/>
      </c>
      <c r="K230" s="9" t="n"/>
    </row>
    <row r="231">
      <c r="C231" s="6" t="n"/>
      <c r="F231" s="6">
        <f>IF(A231="","",SUMIFS(Depenses!$E:$E,Depenses!$B:$B,A231,Depenses!$F:$F,B231))</f>
        <v/>
      </c>
      <c r="G231" s="6">
        <f>IF(A231="","",SUMIFS(Depenses!$E:$E,Depenses!$B:$B,A231))</f>
        <v/>
      </c>
      <c r="H231">
        <f>IF(A231="","",COUNTIFS($A:$A,A231,$D:$D,1))</f>
        <v/>
      </c>
      <c r="I231" s="6">
        <f>IF(A231="","",IF(AND(D231=1,H231&gt;0),G231/H231,0))</f>
        <v/>
      </c>
      <c r="J231" s="6">
        <f>IF(A231="","",C231+F231-I231)</f>
        <v/>
      </c>
      <c r="K231" s="9" t="n"/>
    </row>
    <row r="232">
      <c r="C232" s="6" t="n"/>
      <c r="F232" s="6">
        <f>IF(A232="","",SUMIFS(Depenses!$E:$E,Depenses!$B:$B,A232,Depenses!$F:$F,B232))</f>
        <v/>
      </c>
      <c r="G232" s="6">
        <f>IF(A232="","",SUMIFS(Depenses!$E:$E,Depenses!$B:$B,A232))</f>
        <v/>
      </c>
      <c r="H232">
        <f>IF(A232="","",COUNTIFS($A:$A,A232,$D:$D,1))</f>
        <v/>
      </c>
      <c r="I232" s="6">
        <f>IF(A232="","",IF(AND(D232=1,H232&gt;0),G232/H232,0))</f>
        <v/>
      </c>
      <c r="J232" s="6">
        <f>IF(A232="","",C232+F232-I232)</f>
        <v/>
      </c>
      <c r="K232" s="9" t="n"/>
    </row>
    <row r="233">
      <c r="C233" s="6" t="n"/>
      <c r="F233" s="6">
        <f>IF(A233="","",SUMIFS(Depenses!$E:$E,Depenses!$B:$B,A233,Depenses!$F:$F,B233))</f>
        <v/>
      </c>
      <c r="G233" s="6">
        <f>IF(A233="","",SUMIFS(Depenses!$E:$E,Depenses!$B:$B,A233))</f>
        <v/>
      </c>
      <c r="H233">
        <f>IF(A233="","",COUNTIFS($A:$A,A233,$D:$D,1))</f>
        <v/>
      </c>
      <c r="I233" s="6">
        <f>IF(A233="","",IF(AND(D233=1,H233&gt;0),G233/H233,0))</f>
        <v/>
      </c>
      <c r="J233" s="6">
        <f>IF(A233="","",C233+F233-I233)</f>
        <v/>
      </c>
      <c r="K233" s="9" t="n"/>
    </row>
    <row r="234">
      <c r="C234" s="6" t="n"/>
      <c r="F234" s="6">
        <f>IF(A234="","",SUMIFS(Depenses!$E:$E,Depenses!$B:$B,A234,Depenses!$F:$F,B234))</f>
        <v/>
      </c>
      <c r="G234" s="6">
        <f>IF(A234="","",SUMIFS(Depenses!$E:$E,Depenses!$B:$B,A234))</f>
        <v/>
      </c>
      <c r="H234">
        <f>IF(A234="","",COUNTIFS($A:$A,A234,$D:$D,1))</f>
        <v/>
      </c>
      <c r="I234" s="6">
        <f>IF(A234="","",IF(AND(D234=1,H234&gt;0),G234/H234,0))</f>
        <v/>
      </c>
      <c r="J234" s="6">
        <f>IF(A234="","",C234+F234-I234)</f>
        <v/>
      </c>
      <c r="K234" s="9" t="n"/>
    </row>
    <row r="235">
      <c r="C235" s="6" t="n"/>
      <c r="F235" s="6">
        <f>IF(A235="","",SUMIFS(Depenses!$E:$E,Depenses!$B:$B,A235,Depenses!$F:$F,B235))</f>
        <v/>
      </c>
      <c r="G235" s="6">
        <f>IF(A235="","",SUMIFS(Depenses!$E:$E,Depenses!$B:$B,A235))</f>
        <v/>
      </c>
      <c r="H235">
        <f>IF(A235="","",COUNTIFS($A:$A,A235,$D:$D,1))</f>
        <v/>
      </c>
      <c r="I235" s="6">
        <f>IF(A235="","",IF(AND(D235=1,H235&gt;0),G235/H235,0))</f>
        <v/>
      </c>
      <c r="J235" s="6">
        <f>IF(A235="","",C235+F235-I235)</f>
        <v/>
      </c>
      <c r="K235" s="9" t="n"/>
    </row>
    <row r="236">
      <c r="C236" s="6" t="n"/>
      <c r="F236" s="6">
        <f>IF(A236="","",SUMIFS(Depenses!$E:$E,Depenses!$B:$B,A236,Depenses!$F:$F,B236))</f>
        <v/>
      </c>
      <c r="G236" s="6">
        <f>IF(A236="","",SUMIFS(Depenses!$E:$E,Depenses!$B:$B,A236))</f>
        <v/>
      </c>
      <c r="H236">
        <f>IF(A236="","",COUNTIFS($A:$A,A236,$D:$D,1))</f>
        <v/>
      </c>
      <c r="I236" s="6">
        <f>IF(A236="","",IF(AND(D236=1,H236&gt;0),G236/H236,0))</f>
        <v/>
      </c>
      <c r="J236" s="6">
        <f>IF(A236="","",C236+F236-I236)</f>
        <v/>
      </c>
      <c r="K236" s="9" t="n"/>
    </row>
    <row r="237">
      <c r="C237" s="6" t="n"/>
      <c r="F237" s="6">
        <f>IF(A237="","",SUMIFS(Depenses!$E:$E,Depenses!$B:$B,A237,Depenses!$F:$F,B237))</f>
        <v/>
      </c>
      <c r="G237" s="6">
        <f>IF(A237="","",SUMIFS(Depenses!$E:$E,Depenses!$B:$B,A237))</f>
        <v/>
      </c>
      <c r="H237">
        <f>IF(A237="","",COUNTIFS($A:$A,A237,$D:$D,1))</f>
        <v/>
      </c>
      <c r="I237" s="6">
        <f>IF(A237="","",IF(AND(D237=1,H237&gt;0),G237/H237,0))</f>
        <v/>
      </c>
      <c r="J237" s="6">
        <f>IF(A237="","",C237+F237-I237)</f>
        <v/>
      </c>
      <c r="K237" s="9" t="n"/>
    </row>
    <row r="238">
      <c r="C238" s="6" t="n"/>
      <c r="F238" s="6">
        <f>IF(A238="","",SUMIFS(Depenses!$E:$E,Depenses!$B:$B,A238,Depenses!$F:$F,B238))</f>
        <v/>
      </c>
      <c r="G238" s="6">
        <f>IF(A238="","",SUMIFS(Depenses!$E:$E,Depenses!$B:$B,A238))</f>
        <v/>
      </c>
      <c r="H238">
        <f>IF(A238="","",COUNTIFS($A:$A,A238,$D:$D,1))</f>
        <v/>
      </c>
      <c r="I238" s="6">
        <f>IF(A238="","",IF(AND(D238=1,H238&gt;0),G238/H238,0))</f>
        <v/>
      </c>
      <c r="J238" s="6">
        <f>IF(A238="","",C238+F238-I238)</f>
        <v/>
      </c>
      <c r="K238" s="9" t="n"/>
    </row>
    <row r="239">
      <c r="C239" s="6" t="n"/>
      <c r="F239" s="6">
        <f>IF(A239="","",SUMIFS(Depenses!$E:$E,Depenses!$B:$B,A239,Depenses!$F:$F,B239))</f>
        <v/>
      </c>
      <c r="G239" s="6">
        <f>IF(A239="","",SUMIFS(Depenses!$E:$E,Depenses!$B:$B,A239))</f>
        <v/>
      </c>
      <c r="H239">
        <f>IF(A239="","",COUNTIFS($A:$A,A239,$D:$D,1))</f>
        <v/>
      </c>
      <c r="I239" s="6">
        <f>IF(A239="","",IF(AND(D239=1,H239&gt;0),G239/H239,0))</f>
        <v/>
      </c>
      <c r="J239" s="6">
        <f>IF(A239="","",C239+F239-I239)</f>
        <v/>
      </c>
      <c r="K239" s="9" t="n"/>
    </row>
    <row r="240">
      <c r="C240" s="6" t="n"/>
      <c r="F240" s="6">
        <f>IF(A240="","",SUMIFS(Depenses!$E:$E,Depenses!$B:$B,A240,Depenses!$F:$F,B240))</f>
        <v/>
      </c>
      <c r="G240" s="6">
        <f>IF(A240="","",SUMIFS(Depenses!$E:$E,Depenses!$B:$B,A240))</f>
        <v/>
      </c>
      <c r="H240">
        <f>IF(A240="","",COUNTIFS($A:$A,A240,$D:$D,1))</f>
        <v/>
      </c>
      <c r="I240" s="6">
        <f>IF(A240="","",IF(AND(D240=1,H240&gt;0),G240/H240,0))</f>
        <v/>
      </c>
      <c r="J240" s="6">
        <f>IF(A240="","",C240+F240-I240)</f>
        <v/>
      </c>
      <c r="K240" s="9" t="n"/>
    </row>
    <row r="241">
      <c r="C241" s="6" t="n"/>
      <c r="F241" s="6">
        <f>IF(A241="","",SUMIFS(Depenses!$E:$E,Depenses!$B:$B,A241,Depenses!$F:$F,B241))</f>
        <v/>
      </c>
      <c r="G241" s="6">
        <f>IF(A241="","",SUMIFS(Depenses!$E:$E,Depenses!$B:$B,A241))</f>
        <v/>
      </c>
      <c r="H241">
        <f>IF(A241="","",COUNTIFS($A:$A,A241,$D:$D,1))</f>
        <v/>
      </c>
      <c r="I241" s="6">
        <f>IF(A241="","",IF(AND(D241=1,H241&gt;0),G241/H241,0))</f>
        <v/>
      </c>
      <c r="J241" s="6">
        <f>IF(A241="","",C241+F241-I241)</f>
        <v/>
      </c>
      <c r="K241" s="9" t="n"/>
    </row>
    <row r="242">
      <c r="C242" s="6" t="n"/>
      <c r="F242" s="6">
        <f>IF(A242="","",SUMIFS(Depenses!$E:$E,Depenses!$B:$B,A242,Depenses!$F:$F,B242))</f>
        <v/>
      </c>
      <c r="G242" s="6">
        <f>IF(A242="","",SUMIFS(Depenses!$E:$E,Depenses!$B:$B,A242))</f>
        <v/>
      </c>
      <c r="H242">
        <f>IF(A242="","",COUNTIFS($A:$A,A242,$D:$D,1))</f>
        <v/>
      </c>
      <c r="I242" s="6">
        <f>IF(A242="","",IF(AND(D242=1,H242&gt;0),G242/H242,0))</f>
        <v/>
      </c>
      <c r="J242" s="6">
        <f>IF(A242="","",C242+F242-I242)</f>
        <v/>
      </c>
      <c r="K242" s="9" t="n"/>
    </row>
    <row r="243">
      <c r="C243" s="6" t="n"/>
      <c r="F243" s="6">
        <f>IF(A243="","",SUMIFS(Depenses!$E:$E,Depenses!$B:$B,A243,Depenses!$F:$F,B243))</f>
        <v/>
      </c>
      <c r="G243" s="6">
        <f>IF(A243="","",SUMIFS(Depenses!$E:$E,Depenses!$B:$B,A243))</f>
        <v/>
      </c>
      <c r="H243">
        <f>IF(A243="","",COUNTIFS($A:$A,A243,$D:$D,1))</f>
        <v/>
      </c>
      <c r="I243" s="6">
        <f>IF(A243="","",IF(AND(D243=1,H243&gt;0),G243/H243,0))</f>
        <v/>
      </c>
      <c r="J243" s="6">
        <f>IF(A243="","",C243+F243-I243)</f>
        <v/>
      </c>
      <c r="K243" s="9" t="n"/>
    </row>
    <row r="244">
      <c r="C244" s="6" t="n"/>
      <c r="F244" s="6">
        <f>IF(A244="","",SUMIFS(Depenses!$E:$E,Depenses!$B:$B,A244,Depenses!$F:$F,B244))</f>
        <v/>
      </c>
      <c r="G244" s="6">
        <f>IF(A244="","",SUMIFS(Depenses!$E:$E,Depenses!$B:$B,A244))</f>
        <v/>
      </c>
      <c r="H244">
        <f>IF(A244="","",COUNTIFS($A:$A,A244,$D:$D,1))</f>
        <v/>
      </c>
      <c r="I244" s="6">
        <f>IF(A244="","",IF(AND(D244=1,H244&gt;0),G244/H244,0))</f>
        <v/>
      </c>
      <c r="J244" s="6">
        <f>IF(A244="","",C244+F244-I244)</f>
        <v/>
      </c>
      <c r="K244" s="9" t="n"/>
    </row>
    <row r="245">
      <c r="C245" s="6" t="n"/>
      <c r="F245" s="6">
        <f>IF(A245="","",SUMIFS(Depenses!$E:$E,Depenses!$B:$B,A245,Depenses!$F:$F,B245))</f>
        <v/>
      </c>
      <c r="G245" s="6">
        <f>IF(A245="","",SUMIFS(Depenses!$E:$E,Depenses!$B:$B,A245))</f>
        <v/>
      </c>
      <c r="H245">
        <f>IF(A245="","",COUNTIFS($A:$A,A245,$D:$D,1))</f>
        <v/>
      </c>
      <c r="I245" s="6">
        <f>IF(A245="","",IF(AND(D245=1,H245&gt;0),G245/H245,0))</f>
        <v/>
      </c>
      <c r="J245" s="6">
        <f>IF(A245="","",C245+F245-I245)</f>
        <v/>
      </c>
      <c r="K245" s="9" t="n"/>
    </row>
    <row r="246">
      <c r="C246" s="6" t="n"/>
      <c r="F246" s="6">
        <f>IF(A246="","",SUMIFS(Depenses!$E:$E,Depenses!$B:$B,A246,Depenses!$F:$F,B246))</f>
        <v/>
      </c>
      <c r="G246" s="6">
        <f>IF(A246="","",SUMIFS(Depenses!$E:$E,Depenses!$B:$B,A246))</f>
        <v/>
      </c>
      <c r="H246">
        <f>IF(A246="","",COUNTIFS($A:$A,A246,$D:$D,1))</f>
        <v/>
      </c>
      <c r="I246" s="6">
        <f>IF(A246="","",IF(AND(D246=1,H246&gt;0),G246/H246,0))</f>
        <v/>
      </c>
      <c r="J246" s="6">
        <f>IF(A246="","",C246+F246-I246)</f>
        <v/>
      </c>
      <c r="K246" s="9" t="n"/>
    </row>
    <row r="247">
      <c r="C247" s="6" t="n"/>
      <c r="F247" s="6">
        <f>IF(A247="","",SUMIFS(Depenses!$E:$E,Depenses!$B:$B,A247,Depenses!$F:$F,B247))</f>
        <v/>
      </c>
      <c r="G247" s="6">
        <f>IF(A247="","",SUMIFS(Depenses!$E:$E,Depenses!$B:$B,A247))</f>
        <v/>
      </c>
      <c r="H247">
        <f>IF(A247="","",COUNTIFS($A:$A,A247,$D:$D,1))</f>
        <v/>
      </c>
      <c r="I247" s="6">
        <f>IF(A247="","",IF(AND(D247=1,H247&gt;0),G247/H247,0))</f>
        <v/>
      </c>
      <c r="J247" s="6">
        <f>IF(A247="","",C247+F247-I247)</f>
        <v/>
      </c>
      <c r="K247" s="9" t="n"/>
    </row>
    <row r="248">
      <c r="C248" s="6" t="n"/>
      <c r="F248" s="6">
        <f>IF(A248="","",SUMIFS(Depenses!$E:$E,Depenses!$B:$B,A248,Depenses!$F:$F,B248))</f>
        <v/>
      </c>
      <c r="G248" s="6">
        <f>IF(A248="","",SUMIFS(Depenses!$E:$E,Depenses!$B:$B,A248))</f>
        <v/>
      </c>
      <c r="H248">
        <f>IF(A248="","",COUNTIFS($A:$A,A248,$D:$D,1))</f>
        <v/>
      </c>
      <c r="I248" s="6">
        <f>IF(A248="","",IF(AND(D248=1,H248&gt;0),G248/H248,0))</f>
        <v/>
      </c>
      <c r="J248" s="6">
        <f>IF(A248="","",C248+F248-I248)</f>
        <v/>
      </c>
      <c r="K248" s="9" t="n"/>
    </row>
    <row r="249">
      <c r="C249" s="6" t="n"/>
      <c r="F249" s="6">
        <f>IF(A249="","",SUMIFS(Depenses!$E:$E,Depenses!$B:$B,A249,Depenses!$F:$F,B249))</f>
        <v/>
      </c>
      <c r="G249" s="6">
        <f>IF(A249="","",SUMIFS(Depenses!$E:$E,Depenses!$B:$B,A249))</f>
        <v/>
      </c>
      <c r="H249">
        <f>IF(A249="","",COUNTIFS($A:$A,A249,$D:$D,1))</f>
        <v/>
      </c>
      <c r="I249" s="6">
        <f>IF(A249="","",IF(AND(D249=1,H249&gt;0),G249/H249,0))</f>
        <v/>
      </c>
      <c r="J249" s="6">
        <f>IF(A249="","",C249+F249-I249)</f>
        <v/>
      </c>
      <c r="K249" s="9" t="n"/>
    </row>
    <row r="250">
      <c r="C250" s="6" t="n"/>
      <c r="F250" s="6">
        <f>IF(A250="","",SUMIFS(Depenses!$E:$E,Depenses!$B:$B,A250,Depenses!$F:$F,B250))</f>
        <v/>
      </c>
      <c r="G250" s="6">
        <f>IF(A250="","",SUMIFS(Depenses!$E:$E,Depenses!$B:$B,A250))</f>
        <v/>
      </c>
      <c r="H250">
        <f>IF(A250="","",COUNTIFS($A:$A,A250,$D:$D,1))</f>
        <v/>
      </c>
      <c r="I250" s="6">
        <f>IF(A250="","",IF(AND(D250=1,H250&gt;0),G250/H250,0))</f>
        <v/>
      </c>
      <c r="J250" s="6">
        <f>IF(A250="","",C250+F250-I250)</f>
        <v/>
      </c>
      <c r="K250" s="9" t="n"/>
    </row>
    <row r="251">
      <c r="C251" s="6" t="n"/>
      <c r="F251" s="6">
        <f>IF(A251="","",SUMIFS(Depenses!$E:$E,Depenses!$B:$B,A251,Depenses!$F:$F,B251))</f>
        <v/>
      </c>
      <c r="G251" s="6">
        <f>IF(A251="","",SUMIFS(Depenses!$E:$E,Depenses!$B:$B,A251))</f>
        <v/>
      </c>
      <c r="H251">
        <f>IF(A251="","",COUNTIFS($A:$A,A251,$D:$D,1))</f>
        <v/>
      </c>
      <c r="I251" s="6">
        <f>IF(A251="","",IF(AND(D251=1,H251&gt;0),G251/H251,0))</f>
        <v/>
      </c>
      <c r="J251" s="6">
        <f>IF(A251="","",C251+F251-I251)</f>
        <v/>
      </c>
      <c r="K251" s="9" t="n"/>
    </row>
    <row r="252">
      <c r="C252" s="6" t="n"/>
      <c r="F252" s="6">
        <f>IF(A252="","",SUMIFS(Depenses!$E:$E,Depenses!$B:$B,A252,Depenses!$F:$F,B252))</f>
        <v/>
      </c>
      <c r="G252" s="6">
        <f>IF(A252="","",SUMIFS(Depenses!$E:$E,Depenses!$B:$B,A252))</f>
        <v/>
      </c>
      <c r="H252">
        <f>IF(A252="","",COUNTIFS($A:$A,A252,$D:$D,1))</f>
        <v/>
      </c>
      <c r="I252" s="6">
        <f>IF(A252="","",IF(AND(D252=1,H252&gt;0),G252/H252,0))</f>
        <v/>
      </c>
      <c r="J252" s="6">
        <f>IF(A252="","",C252+F252-I252)</f>
        <v/>
      </c>
      <c r="K252" s="9" t="n"/>
    </row>
    <row r="253">
      <c r="C253" s="6" t="n"/>
      <c r="F253" s="6">
        <f>IF(A253="","",SUMIFS(Depenses!$E:$E,Depenses!$B:$B,A253,Depenses!$F:$F,B253))</f>
        <v/>
      </c>
      <c r="G253" s="6">
        <f>IF(A253="","",SUMIFS(Depenses!$E:$E,Depenses!$B:$B,A253))</f>
        <v/>
      </c>
      <c r="H253">
        <f>IF(A253="","",COUNTIFS($A:$A,A253,$D:$D,1))</f>
        <v/>
      </c>
      <c r="I253" s="6">
        <f>IF(A253="","",IF(AND(D253=1,H253&gt;0),G253/H253,0))</f>
        <v/>
      </c>
      <c r="J253" s="6">
        <f>IF(A253="","",C253+F253-I253)</f>
        <v/>
      </c>
      <c r="K253" s="9" t="n"/>
    </row>
    <row r="254">
      <c r="C254" s="6" t="n"/>
      <c r="F254" s="6">
        <f>IF(A254="","",SUMIFS(Depenses!$E:$E,Depenses!$B:$B,A254,Depenses!$F:$F,B254))</f>
        <v/>
      </c>
      <c r="G254" s="6">
        <f>IF(A254="","",SUMIFS(Depenses!$E:$E,Depenses!$B:$B,A254))</f>
        <v/>
      </c>
      <c r="H254">
        <f>IF(A254="","",COUNTIFS($A:$A,A254,$D:$D,1))</f>
        <v/>
      </c>
      <c r="I254" s="6">
        <f>IF(A254="","",IF(AND(D254=1,H254&gt;0),G254/H254,0))</f>
        <v/>
      </c>
      <c r="J254" s="6">
        <f>IF(A254="","",C254+F254-I254)</f>
        <v/>
      </c>
      <c r="K254" s="9" t="n"/>
    </row>
    <row r="255">
      <c r="C255" s="6" t="n"/>
      <c r="F255" s="6">
        <f>IF(A255="","",SUMIFS(Depenses!$E:$E,Depenses!$B:$B,A255,Depenses!$F:$F,B255))</f>
        <v/>
      </c>
      <c r="G255" s="6">
        <f>IF(A255="","",SUMIFS(Depenses!$E:$E,Depenses!$B:$B,A255))</f>
        <v/>
      </c>
      <c r="H255">
        <f>IF(A255="","",COUNTIFS($A:$A,A255,$D:$D,1))</f>
        <v/>
      </c>
      <c r="I255" s="6">
        <f>IF(A255="","",IF(AND(D255=1,H255&gt;0),G255/H255,0))</f>
        <v/>
      </c>
      <c r="J255" s="6">
        <f>IF(A255="","",C255+F255-I255)</f>
        <v/>
      </c>
      <c r="K255" s="9" t="n"/>
    </row>
    <row r="256">
      <c r="C256" s="6" t="n"/>
      <c r="F256" s="6">
        <f>IF(A256="","",SUMIFS(Depenses!$E:$E,Depenses!$B:$B,A256,Depenses!$F:$F,B256))</f>
        <v/>
      </c>
      <c r="G256" s="6">
        <f>IF(A256="","",SUMIFS(Depenses!$E:$E,Depenses!$B:$B,A256))</f>
        <v/>
      </c>
      <c r="H256">
        <f>IF(A256="","",COUNTIFS($A:$A,A256,$D:$D,1))</f>
        <v/>
      </c>
      <c r="I256" s="6">
        <f>IF(A256="","",IF(AND(D256=1,H256&gt;0),G256/H256,0))</f>
        <v/>
      </c>
      <c r="J256" s="6">
        <f>IF(A256="","",C256+F256-I256)</f>
        <v/>
      </c>
      <c r="K256" s="9" t="n"/>
    </row>
    <row r="257">
      <c r="C257" s="6" t="n"/>
      <c r="F257" s="6">
        <f>IF(A257="","",SUMIFS(Depenses!$E:$E,Depenses!$B:$B,A257,Depenses!$F:$F,B257))</f>
        <v/>
      </c>
      <c r="G257" s="6">
        <f>IF(A257="","",SUMIFS(Depenses!$E:$E,Depenses!$B:$B,A257))</f>
        <v/>
      </c>
      <c r="H257">
        <f>IF(A257="","",COUNTIFS($A:$A,A257,$D:$D,1))</f>
        <v/>
      </c>
      <c r="I257" s="6">
        <f>IF(A257="","",IF(AND(D257=1,H257&gt;0),G257/H257,0))</f>
        <v/>
      </c>
      <c r="J257" s="6">
        <f>IF(A257="","",C257+F257-I257)</f>
        <v/>
      </c>
      <c r="K257" s="9" t="n"/>
    </row>
    <row r="258">
      <c r="C258" s="6" t="n"/>
      <c r="F258" s="6">
        <f>IF(A258="","",SUMIFS(Depenses!$E:$E,Depenses!$B:$B,A258,Depenses!$F:$F,B258))</f>
        <v/>
      </c>
      <c r="G258" s="6">
        <f>IF(A258="","",SUMIFS(Depenses!$E:$E,Depenses!$B:$B,A258))</f>
        <v/>
      </c>
      <c r="H258">
        <f>IF(A258="","",COUNTIFS($A:$A,A258,$D:$D,1))</f>
        <v/>
      </c>
      <c r="I258" s="6">
        <f>IF(A258="","",IF(AND(D258=1,H258&gt;0),G258/H258,0))</f>
        <v/>
      </c>
      <c r="J258" s="6">
        <f>IF(A258="","",C258+F258-I258)</f>
        <v/>
      </c>
      <c r="K258" s="9" t="n"/>
    </row>
    <row r="259">
      <c r="C259" s="6" t="n"/>
      <c r="F259" s="6">
        <f>IF(A259="","",SUMIFS(Depenses!$E:$E,Depenses!$B:$B,A259,Depenses!$F:$F,B259))</f>
        <v/>
      </c>
      <c r="G259" s="6">
        <f>IF(A259="","",SUMIFS(Depenses!$E:$E,Depenses!$B:$B,A259))</f>
        <v/>
      </c>
      <c r="H259">
        <f>IF(A259="","",COUNTIFS($A:$A,A259,$D:$D,1))</f>
        <v/>
      </c>
      <c r="I259" s="6">
        <f>IF(A259="","",IF(AND(D259=1,H259&gt;0),G259/H259,0))</f>
        <v/>
      </c>
      <c r="J259" s="6">
        <f>IF(A259="","",C259+F259-I259)</f>
        <v/>
      </c>
      <c r="K259" s="9" t="n"/>
    </row>
    <row r="260">
      <c r="C260" s="6" t="n"/>
      <c r="F260" s="6">
        <f>IF(A260="","",SUMIFS(Depenses!$E:$E,Depenses!$B:$B,A260,Depenses!$F:$F,B260))</f>
        <v/>
      </c>
      <c r="G260" s="6">
        <f>IF(A260="","",SUMIFS(Depenses!$E:$E,Depenses!$B:$B,A260))</f>
        <v/>
      </c>
      <c r="H260">
        <f>IF(A260="","",COUNTIFS($A:$A,A260,$D:$D,1))</f>
        <v/>
      </c>
      <c r="I260" s="6">
        <f>IF(A260="","",IF(AND(D260=1,H260&gt;0),G260/H260,0))</f>
        <v/>
      </c>
      <c r="J260" s="6">
        <f>IF(A260="","",C260+F260-I260)</f>
        <v/>
      </c>
      <c r="K260" s="9" t="n"/>
    </row>
    <row r="261">
      <c r="C261" s="6" t="n"/>
      <c r="F261" s="6">
        <f>IF(A261="","",SUMIFS(Depenses!$E:$E,Depenses!$B:$B,A261,Depenses!$F:$F,B261))</f>
        <v/>
      </c>
      <c r="G261" s="6">
        <f>IF(A261="","",SUMIFS(Depenses!$E:$E,Depenses!$B:$B,A261))</f>
        <v/>
      </c>
      <c r="H261">
        <f>IF(A261="","",COUNTIFS($A:$A,A261,$D:$D,1))</f>
        <v/>
      </c>
      <c r="I261" s="6">
        <f>IF(A261="","",IF(AND(D261=1,H261&gt;0),G261/H261,0))</f>
        <v/>
      </c>
      <c r="J261" s="6">
        <f>IF(A261="","",C261+F261-I261)</f>
        <v/>
      </c>
      <c r="K261" s="9" t="n"/>
    </row>
    <row r="262">
      <c r="C262" s="6" t="n"/>
      <c r="F262" s="6">
        <f>IF(A262="","",SUMIFS(Depenses!$E:$E,Depenses!$B:$B,A262,Depenses!$F:$F,B262))</f>
        <v/>
      </c>
      <c r="G262" s="6">
        <f>IF(A262="","",SUMIFS(Depenses!$E:$E,Depenses!$B:$B,A262))</f>
        <v/>
      </c>
      <c r="H262">
        <f>IF(A262="","",COUNTIFS($A:$A,A262,$D:$D,1))</f>
        <v/>
      </c>
      <c r="I262" s="6">
        <f>IF(A262="","",IF(AND(D262=1,H262&gt;0),G262/H262,0))</f>
        <v/>
      </c>
      <c r="J262" s="6">
        <f>IF(A262="","",C262+F262-I262)</f>
        <v/>
      </c>
      <c r="K262" s="9" t="n"/>
    </row>
    <row r="263">
      <c r="C263" s="6" t="n"/>
      <c r="F263" s="6">
        <f>IF(A263="","",SUMIFS(Depenses!$E:$E,Depenses!$B:$B,A263,Depenses!$F:$F,B263))</f>
        <v/>
      </c>
      <c r="G263" s="6">
        <f>IF(A263="","",SUMIFS(Depenses!$E:$E,Depenses!$B:$B,A263))</f>
        <v/>
      </c>
      <c r="H263">
        <f>IF(A263="","",COUNTIFS($A:$A,A263,$D:$D,1))</f>
        <v/>
      </c>
      <c r="I263" s="6">
        <f>IF(A263="","",IF(AND(D263=1,H263&gt;0),G263/H263,0))</f>
        <v/>
      </c>
      <c r="J263" s="6">
        <f>IF(A263="","",C263+F263-I263)</f>
        <v/>
      </c>
      <c r="K263" s="9" t="n"/>
    </row>
    <row r="264">
      <c r="C264" s="6" t="n"/>
      <c r="F264" s="6">
        <f>IF(A264="","",SUMIFS(Depenses!$E:$E,Depenses!$B:$B,A264,Depenses!$F:$F,B264))</f>
        <v/>
      </c>
      <c r="G264" s="6">
        <f>IF(A264="","",SUMIFS(Depenses!$E:$E,Depenses!$B:$B,A264))</f>
        <v/>
      </c>
      <c r="H264">
        <f>IF(A264="","",COUNTIFS($A:$A,A264,$D:$D,1))</f>
        <v/>
      </c>
      <c r="I264" s="6">
        <f>IF(A264="","",IF(AND(D264=1,H264&gt;0),G264/H264,0))</f>
        <v/>
      </c>
      <c r="J264" s="6">
        <f>IF(A264="","",C264+F264-I264)</f>
        <v/>
      </c>
      <c r="K264" s="9" t="n"/>
    </row>
    <row r="265">
      <c r="C265" s="6" t="n"/>
      <c r="F265" s="6">
        <f>IF(A265="","",SUMIFS(Depenses!$E:$E,Depenses!$B:$B,A265,Depenses!$F:$F,B265))</f>
        <v/>
      </c>
      <c r="G265" s="6">
        <f>IF(A265="","",SUMIFS(Depenses!$E:$E,Depenses!$B:$B,A265))</f>
        <v/>
      </c>
      <c r="H265">
        <f>IF(A265="","",COUNTIFS($A:$A,A265,$D:$D,1))</f>
        <v/>
      </c>
      <c r="I265" s="6">
        <f>IF(A265="","",IF(AND(D265=1,H265&gt;0),G265/H265,0))</f>
        <v/>
      </c>
      <c r="J265" s="6">
        <f>IF(A265="","",C265+F265-I265)</f>
        <v/>
      </c>
      <c r="K265" s="9" t="n"/>
    </row>
    <row r="266">
      <c r="C266" s="6" t="n"/>
      <c r="F266" s="6">
        <f>IF(A266="","",SUMIFS(Depenses!$E:$E,Depenses!$B:$B,A266,Depenses!$F:$F,B266))</f>
        <v/>
      </c>
      <c r="G266" s="6">
        <f>IF(A266="","",SUMIFS(Depenses!$E:$E,Depenses!$B:$B,A266))</f>
        <v/>
      </c>
      <c r="H266">
        <f>IF(A266="","",COUNTIFS($A:$A,A266,$D:$D,1))</f>
        <v/>
      </c>
      <c r="I266" s="6">
        <f>IF(A266="","",IF(AND(D266=1,H266&gt;0),G266/H266,0))</f>
        <v/>
      </c>
      <c r="J266" s="6">
        <f>IF(A266="","",C266+F266-I266)</f>
        <v/>
      </c>
      <c r="K266" s="9" t="n"/>
    </row>
    <row r="267">
      <c r="C267" s="6" t="n"/>
      <c r="F267" s="6">
        <f>IF(A267="","",SUMIFS(Depenses!$E:$E,Depenses!$B:$B,A267,Depenses!$F:$F,B267))</f>
        <v/>
      </c>
      <c r="G267" s="6">
        <f>IF(A267="","",SUMIFS(Depenses!$E:$E,Depenses!$B:$B,A267))</f>
        <v/>
      </c>
      <c r="H267">
        <f>IF(A267="","",COUNTIFS($A:$A,A267,$D:$D,1))</f>
        <v/>
      </c>
      <c r="I267" s="6">
        <f>IF(A267="","",IF(AND(D267=1,H267&gt;0),G267/H267,0))</f>
        <v/>
      </c>
      <c r="J267" s="6">
        <f>IF(A267="","",C267+F267-I267)</f>
        <v/>
      </c>
      <c r="K267" s="9" t="n"/>
    </row>
    <row r="268">
      <c r="C268" s="6" t="n"/>
      <c r="F268" s="6">
        <f>IF(A268="","",SUMIFS(Depenses!$E:$E,Depenses!$B:$B,A268,Depenses!$F:$F,B268))</f>
        <v/>
      </c>
      <c r="G268" s="6">
        <f>IF(A268="","",SUMIFS(Depenses!$E:$E,Depenses!$B:$B,A268))</f>
        <v/>
      </c>
      <c r="H268">
        <f>IF(A268="","",COUNTIFS($A:$A,A268,$D:$D,1))</f>
        <v/>
      </c>
      <c r="I268" s="6">
        <f>IF(A268="","",IF(AND(D268=1,H268&gt;0),G268/H268,0))</f>
        <v/>
      </c>
      <c r="J268" s="6">
        <f>IF(A268="","",C268+F268-I268)</f>
        <v/>
      </c>
      <c r="K268" s="9" t="n"/>
    </row>
    <row r="269">
      <c r="C269" s="6" t="n"/>
      <c r="F269" s="6">
        <f>IF(A269="","",SUMIFS(Depenses!$E:$E,Depenses!$B:$B,A269,Depenses!$F:$F,B269))</f>
        <v/>
      </c>
      <c r="G269" s="6">
        <f>IF(A269="","",SUMIFS(Depenses!$E:$E,Depenses!$B:$B,A269))</f>
        <v/>
      </c>
      <c r="H269">
        <f>IF(A269="","",COUNTIFS($A:$A,A269,$D:$D,1))</f>
        <v/>
      </c>
      <c r="I269" s="6">
        <f>IF(A269="","",IF(AND(D269=1,H269&gt;0),G269/H269,0))</f>
        <v/>
      </c>
      <c r="J269" s="6">
        <f>IF(A269="","",C269+F269-I269)</f>
        <v/>
      </c>
      <c r="K269" s="9" t="n"/>
    </row>
    <row r="270">
      <c r="C270" s="6" t="n"/>
      <c r="F270" s="6">
        <f>IF(A270="","",SUMIFS(Depenses!$E:$E,Depenses!$B:$B,A270,Depenses!$F:$F,B270))</f>
        <v/>
      </c>
      <c r="G270" s="6">
        <f>IF(A270="","",SUMIFS(Depenses!$E:$E,Depenses!$B:$B,A270))</f>
        <v/>
      </c>
      <c r="H270">
        <f>IF(A270="","",COUNTIFS($A:$A,A270,$D:$D,1))</f>
        <v/>
      </c>
      <c r="I270" s="6">
        <f>IF(A270="","",IF(AND(D270=1,H270&gt;0),G270/H270,0))</f>
        <v/>
      </c>
      <c r="J270" s="6">
        <f>IF(A270="","",C270+F270-I270)</f>
        <v/>
      </c>
      <c r="K270" s="9" t="n"/>
    </row>
    <row r="271">
      <c r="C271" s="6" t="n"/>
      <c r="F271" s="6">
        <f>IF(A271="","",SUMIFS(Depenses!$E:$E,Depenses!$B:$B,A271,Depenses!$F:$F,B271))</f>
        <v/>
      </c>
      <c r="G271" s="6">
        <f>IF(A271="","",SUMIFS(Depenses!$E:$E,Depenses!$B:$B,A271))</f>
        <v/>
      </c>
      <c r="H271">
        <f>IF(A271="","",COUNTIFS($A:$A,A271,$D:$D,1))</f>
        <v/>
      </c>
      <c r="I271" s="6">
        <f>IF(A271="","",IF(AND(D271=1,H271&gt;0),G271/H271,0))</f>
        <v/>
      </c>
      <c r="J271" s="6">
        <f>IF(A271="","",C271+F271-I271)</f>
        <v/>
      </c>
      <c r="K271" s="9" t="n"/>
    </row>
    <row r="272">
      <c r="C272" s="6" t="n"/>
      <c r="F272" s="6">
        <f>IF(A272="","",SUMIFS(Depenses!$E:$E,Depenses!$B:$B,A272,Depenses!$F:$F,B272))</f>
        <v/>
      </c>
      <c r="G272" s="6">
        <f>IF(A272="","",SUMIFS(Depenses!$E:$E,Depenses!$B:$B,A272))</f>
        <v/>
      </c>
      <c r="H272">
        <f>IF(A272="","",COUNTIFS($A:$A,A272,$D:$D,1))</f>
        <v/>
      </c>
      <c r="I272" s="6">
        <f>IF(A272="","",IF(AND(D272=1,H272&gt;0),G272/H272,0))</f>
        <v/>
      </c>
      <c r="J272" s="6">
        <f>IF(A272="","",C272+F272-I272)</f>
        <v/>
      </c>
      <c r="K272" s="9" t="n"/>
    </row>
    <row r="273">
      <c r="C273" s="6" t="n"/>
      <c r="F273" s="6">
        <f>IF(A273="","",SUMIFS(Depenses!$E:$E,Depenses!$B:$B,A273,Depenses!$F:$F,B273))</f>
        <v/>
      </c>
      <c r="G273" s="6">
        <f>IF(A273="","",SUMIFS(Depenses!$E:$E,Depenses!$B:$B,A273))</f>
        <v/>
      </c>
      <c r="H273">
        <f>IF(A273="","",COUNTIFS($A:$A,A273,$D:$D,1))</f>
        <v/>
      </c>
      <c r="I273" s="6">
        <f>IF(A273="","",IF(AND(D273=1,H273&gt;0),G273/H273,0))</f>
        <v/>
      </c>
      <c r="J273" s="6">
        <f>IF(A273="","",C273+F273-I273)</f>
        <v/>
      </c>
      <c r="K273" s="9" t="n"/>
    </row>
    <row r="274">
      <c r="C274" s="6" t="n"/>
      <c r="F274" s="6">
        <f>IF(A274="","",SUMIFS(Depenses!$E:$E,Depenses!$B:$B,A274,Depenses!$F:$F,B274))</f>
        <v/>
      </c>
      <c r="G274" s="6">
        <f>IF(A274="","",SUMIFS(Depenses!$E:$E,Depenses!$B:$B,A274))</f>
        <v/>
      </c>
      <c r="H274">
        <f>IF(A274="","",COUNTIFS($A:$A,A274,$D:$D,1))</f>
        <v/>
      </c>
      <c r="I274" s="6">
        <f>IF(A274="","",IF(AND(D274=1,H274&gt;0),G274/H274,0))</f>
        <v/>
      </c>
      <c r="J274" s="6">
        <f>IF(A274="","",C274+F274-I274)</f>
        <v/>
      </c>
      <c r="K274" s="9" t="n"/>
    </row>
    <row r="275">
      <c r="C275" s="6" t="n"/>
      <c r="F275" s="6">
        <f>IF(A275="","",SUMIFS(Depenses!$E:$E,Depenses!$B:$B,A275,Depenses!$F:$F,B275))</f>
        <v/>
      </c>
      <c r="G275" s="6">
        <f>IF(A275="","",SUMIFS(Depenses!$E:$E,Depenses!$B:$B,A275))</f>
        <v/>
      </c>
      <c r="H275">
        <f>IF(A275="","",COUNTIFS($A:$A,A275,$D:$D,1))</f>
        <v/>
      </c>
      <c r="I275" s="6">
        <f>IF(A275="","",IF(AND(D275=1,H275&gt;0),G275/H275,0))</f>
        <v/>
      </c>
      <c r="J275" s="6">
        <f>IF(A275="","",C275+F275-I275)</f>
        <v/>
      </c>
      <c r="K275" s="9" t="n"/>
    </row>
    <row r="276">
      <c r="C276" s="6" t="n"/>
      <c r="F276" s="6">
        <f>IF(A276="","",SUMIFS(Depenses!$E:$E,Depenses!$B:$B,A276,Depenses!$F:$F,B276))</f>
        <v/>
      </c>
      <c r="G276" s="6">
        <f>IF(A276="","",SUMIFS(Depenses!$E:$E,Depenses!$B:$B,A276))</f>
        <v/>
      </c>
      <c r="H276">
        <f>IF(A276="","",COUNTIFS($A:$A,A276,$D:$D,1))</f>
        <v/>
      </c>
      <c r="I276" s="6">
        <f>IF(A276="","",IF(AND(D276=1,H276&gt;0),G276/H276,0))</f>
        <v/>
      </c>
      <c r="J276" s="6">
        <f>IF(A276="","",C276+F276-I276)</f>
        <v/>
      </c>
      <c r="K276" s="9" t="n"/>
    </row>
    <row r="277">
      <c r="C277" s="6" t="n"/>
      <c r="F277" s="6">
        <f>IF(A277="","",SUMIFS(Depenses!$E:$E,Depenses!$B:$B,A277,Depenses!$F:$F,B277))</f>
        <v/>
      </c>
      <c r="G277" s="6">
        <f>IF(A277="","",SUMIFS(Depenses!$E:$E,Depenses!$B:$B,A277))</f>
        <v/>
      </c>
      <c r="H277">
        <f>IF(A277="","",COUNTIFS($A:$A,A277,$D:$D,1))</f>
        <v/>
      </c>
      <c r="I277" s="6">
        <f>IF(A277="","",IF(AND(D277=1,H277&gt;0),G277/H277,0))</f>
        <v/>
      </c>
      <c r="J277" s="6">
        <f>IF(A277="","",C277+F277-I277)</f>
        <v/>
      </c>
      <c r="K277" s="9" t="n"/>
    </row>
    <row r="278">
      <c r="C278" s="6" t="n"/>
      <c r="F278" s="6">
        <f>IF(A278="","",SUMIFS(Depenses!$E:$E,Depenses!$B:$B,A278,Depenses!$F:$F,B278))</f>
        <v/>
      </c>
      <c r="G278" s="6">
        <f>IF(A278="","",SUMIFS(Depenses!$E:$E,Depenses!$B:$B,A278))</f>
        <v/>
      </c>
      <c r="H278">
        <f>IF(A278="","",COUNTIFS($A:$A,A278,$D:$D,1))</f>
        <v/>
      </c>
      <c r="I278" s="6">
        <f>IF(A278="","",IF(AND(D278=1,H278&gt;0),G278/H278,0))</f>
        <v/>
      </c>
      <c r="J278" s="6">
        <f>IF(A278="","",C278+F278-I278)</f>
        <v/>
      </c>
      <c r="K278" s="9" t="n"/>
    </row>
    <row r="279">
      <c r="C279" s="6" t="n"/>
      <c r="F279" s="6">
        <f>IF(A279="","",SUMIFS(Depenses!$E:$E,Depenses!$B:$B,A279,Depenses!$F:$F,B279))</f>
        <v/>
      </c>
      <c r="G279" s="6">
        <f>IF(A279="","",SUMIFS(Depenses!$E:$E,Depenses!$B:$B,A279))</f>
        <v/>
      </c>
      <c r="H279">
        <f>IF(A279="","",COUNTIFS($A:$A,A279,$D:$D,1))</f>
        <v/>
      </c>
      <c r="I279" s="6">
        <f>IF(A279="","",IF(AND(D279=1,H279&gt;0),G279/H279,0))</f>
        <v/>
      </c>
      <c r="J279" s="6">
        <f>IF(A279="","",C279+F279-I279)</f>
        <v/>
      </c>
      <c r="K279" s="9" t="n"/>
    </row>
    <row r="280">
      <c r="C280" s="6" t="n"/>
      <c r="F280" s="6">
        <f>IF(A280="","",SUMIFS(Depenses!$E:$E,Depenses!$B:$B,A280,Depenses!$F:$F,B280))</f>
        <v/>
      </c>
      <c r="G280" s="6">
        <f>IF(A280="","",SUMIFS(Depenses!$E:$E,Depenses!$B:$B,A280))</f>
        <v/>
      </c>
      <c r="H280">
        <f>IF(A280="","",COUNTIFS($A:$A,A280,$D:$D,1))</f>
        <v/>
      </c>
      <c r="I280" s="6">
        <f>IF(A280="","",IF(AND(D280=1,H280&gt;0),G280/H280,0))</f>
        <v/>
      </c>
      <c r="J280" s="6">
        <f>IF(A280="","",C280+F280-I280)</f>
        <v/>
      </c>
      <c r="K280" s="9" t="n"/>
    </row>
    <row r="281">
      <c r="C281" s="6" t="n"/>
      <c r="F281" s="6">
        <f>IF(A281="","",SUMIFS(Depenses!$E:$E,Depenses!$B:$B,A281,Depenses!$F:$F,B281))</f>
        <v/>
      </c>
      <c r="G281" s="6">
        <f>IF(A281="","",SUMIFS(Depenses!$E:$E,Depenses!$B:$B,A281))</f>
        <v/>
      </c>
      <c r="H281">
        <f>IF(A281="","",COUNTIFS($A:$A,A281,$D:$D,1))</f>
        <v/>
      </c>
      <c r="I281" s="6">
        <f>IF(A281="","",IF(AND(D281=1,H281&gt;0),G281/H281,0))</f>
        <v/>
      </c>
      <c r="J281" s="6">
        <f>IF(A281="","",C281+F281-I281)</f>
        <v/>
      </c>
      <c r="K281" s="9" t="n"/>
    </row>
    <row r="282">
      <c r="C282" s="6" t="n"/>
      <c r="F282" s="6">
        <f>IF(A282="","",SUMIFS(Depenses!$E:$E,Depenses!$B:$B,A282,Depenses!$F:$F,B282))</f>
        <v/>
      </c>
      <c r="G282" s="6">
        <f>IF(A282="","",SUMIFS(Depenses!$E:$E,Depenses!$B:$B,A282))</f>
        <v/>
      </c>
      <c r="H282">
        <f>IF(A282="","",COUNTIFS($A:$A,A282,$D:$D,1))</f>
        <v/>
      </c>
      <c r="I282" s="6">
        <f>IF(A282="","",IF(AND(D282=1,H282&gt;0),G282/H282,0))</f>
        <v/>
      </c>
      <c r="J282" s="6">
        <f>IF(A282="","",C282+F282-I282)</f>
        <v/>
      </c>
      <c r="K282" s="9" t="n"/>
    </row>
    <row r="283">
      <c r="C283" s="6" t="n"/>
      <c r="F283" s="6">
        <f>IF(A283="","",SUMIFS(Depenses!$E:$E,Depenses!$B:$B,A283,Depenses!$F:$F,B283))</f>
        <v/>
      </c>
      <c r="G283" s="6">
        <f>IF(A283="","",SUMIFS(Depenses!$E:$E,Depenses!$B:$B,A283))</f>
        <v/>
      </c>
      <c r="H283">
        <f>IF(A283="","",COUNTIFS($A:$A,A283,$D:$D,1))</f>
        <v/>
      </c>
      <c r="I283" s="6">
        <f>IF(A283="","",IF(AND(D283=1,H283&gt;0),G283/H283,0))</f>
        <v/>
      </c>
      <c r="J283" s="6">
        <f>IF(A283="","",C283+F283-I283)</f>
        <v/>
      </c>
      <c r="K283" s="9" t="n"/>
    </row>
    <row r="284">
      <c r="C284" s="6" t="n"/>
      <c r="F284" s="6">
        <f>IF(A284="","",SUMIFS(Depenses!$E:$E,Depenses!$B:$B,A284,Depenses!$F:$F,B284))</f>
        <v/>
      </c>
      <c r="G284" s="6">
        <f>IF(A284="","",SUMIFS(Depenses!$E:$E,Depenses!$B:$B,A284))</f>
        <v/>
      </c>
      <c r="H284">
        <f>IF(A284="","",COUNTIFS($A:$A,A284,$D:$D,1))</f>
        <v/>
      </c>
      <c r="I284" s="6">
        <f>IF(A284="","",IF(AND(D284=1,H284&gt;0),G284/H284,0))</f>
        <v/>
      </c>
      <c r="J284" s="6">
        <f>IF(A284="","",C284+F284-I284)</f>
        <v/>
      </c>
      <c r="K284" s="9" t="n"/>
    </row>
    <row r="285">
      <c r="C285" s="6" t="n"/>
      <c r="F285" s="6">
        <f>IF(A285="","",SUMIFS(Depenses!$E:$E,Depenses!$B:$B,A285,Depenses!$F:$F,B285))</f>
        <v/>
      </c>
      <c r="G285" s="6">
        <f>IF(A285="","",SUMIFS(Depenses!$E:$E,Depenses!$B:$B,A285))</f>
        <v/>
      </c>
      <c r="H285">
        <f>IF(A285="","",COUNTIFS($A:$A,A285,$D:$D,1))</f>
        <v/>
      </c>
      <c r="I285" s="6">
        <f>IF(A285="","",IF(AND(D285=1,H285&gt;0),G285/H285,0))</f>
        <v/>
      </c>
      <c r="J285" s="6">
        <f>IF(A285="","",C285+F285-I285)</f>
        <v/>
      </c>
      <c r="K285" s="9" t="n"/>
    </row>
    <row r="286">
      <c r="C286" s="6" t="n"/>
      <c r="F286" s="6">
        <f>IF(A286="","",SUMIFS(Depenses!$E:$E,Depenses!$B:$B,A286,Depenses!$F:$F,B286))</f>
        <v/>
      </c>
      <c r="G286" s="6">
        <f>IF(A286="","",SUMIFS(Depenses!$E:$E,Depenses!$B:$B,A286))</f>
        <v/>
      </c>
      <c r="H286">
        <f>IF(A286="","",COUNTIFS($A:$A,A286,$D:$D,1))</f>
        <v/>
      </c>
      <c r="I286" s="6">
        <f>IF(A286="","",IF(AND(D286=1,H286&gt;0),G286/H286,0))</f>
        <v/>
      </c>
      <c r="J286" s="6">
        <f>IF(A286="","",C286+F286-I286)</f>
        <v/>
      </c>
      <c r="K286" s="9" t="n"/>
    </row>
    <row r="287">
      <c r="C287" s="6" t="n"/>
      <c r="F287" s="6">
        <f>IF(A287="","",SUMIFS(Depenses!$E:$E,Depenses!$B:$B,A287,Depenses!$F:$F,B287))</f>
        <v/>
      </c>
      <c r="G287" s="6">
        <f>IF(A287="","",SUMIFS(Depenses!$E:$E,Depenses!$B:$B,A287))</f>
        <v/>
      </c>
      <c r="H287">
        <f>IF(A287="","",COUNTIFS($A:$A,A287,$D:$D,1))</f>
        <v/>
      </c>
      <c r="I287" s="6">
        <f>IF(A287="","",IF(AND(D287=1,H287&gt;0),G287/H287,0))</f>
        <v/>
      </c>
      <c r="J287" s="6">
        <f>IF(A287="","",C287+F287-I287)</f>
        <v/>
      </c>
      <c r="K287" s="9" t="n"/>
    </row>
    <row r="288">
      <c r="C288" s="6" t="n"/>
      <c r="F288" s="6">
        <f>IF(A288="","",SUMIFS(Depenses!$E:$E,Depenses!$B:$B,A288,Depenses!$F:$F,B288))</f>
        <v/>
      </c>
      <c r="G288" s="6">
        <f>IF(A288="","",SUMIFS(Depenses!$E:$E,Depenses!$B:$B,A288))</f>
        <v/>
      </c>
      <c r="H288">
        <f>IF(A288="","",COUNTIFS($A:$A,A288,$D:$D,1))</f>
        <v/>
      </c>
      <c r="I288" s="6">
        <f>IF(A288="","",IF(AND(D288=1,H288&gt;0),G288/H288,0))</f>
        <v/>
      </c>
      <c r="J288" s="6">
        <f>IF(A288="","",C288+F288-I288)</f>
        <v/>
      </c>
      <c r="K288" s="9" t="n"/>
    </row>
    <row r="289">
      <c r="C289" s="6" t="n"/>
      <c r="F289" s="6">
        <f>IF(A289="","",SUMIFS(Depenses!$E:$E,Depenses!$B:$B,A289,Depenses!$F:$F,B289))</f>
        <v/>
      </c>
      <c r="G289" s="6">
        <f>IF(A289="","",SUMIFS(Depenses!$E:$E,Depenses!$B:$B,A289))</f>
        <v/>
      </c>
      <c r="H289">
        <f>IF(A289="","",COUNTIFS($A:$A,A289,$D:$D,1))</f>
        <v/>
      </c>
      <c r="I289" s="6">
        <f>IF(A289="","",IF(AND(D289=1,H289&gt;0),G289/H289,0))</f>
        <v/>
      </c>
      <c r="J289" s="6">
        <f>IF(A289="","",C289+F289-I289)</f>
        <v/>
      </c>
      <c r="K289" s="9" t="n"/>
    </row>
    <row r="290">
      <c r="C290" s="6" t="n"/>
      <c r="F290" s="6">
        <f>IF(A290="","",SUMIFS(Depenses!$E:$E,Depenses!$B:$B,A290,Depenses!$F:$F,B290))</f>
        <v/>
      </c>
      <c r="G290" s="6">
        <f>IF(A290="","",SUMIFS(Depenses!$E:$E,Depenses!$B:$B,A290))</f>
        <v/>
      </c>
      <c r="H290">
        <f>IF(A290="","",COUNTIFS($A:$A,A290,$D:$D,1))</f>
        <v/>
      </c>
      <c r="I290" s="6">
        <f>IF(A290="","",IF(AND(D290=1,H290&gt;0),G290/H290,0))</f>
        <v/>
      </c>
      <c r="J290" s="6">
        <f>IF(A290="","",C290+F290-I290)</f>
        <v/>
      </c>
      <c r="K290" s="9" t="n"/>
    </row>
    <row r="291">
      <c r="C291" s="6" t="n"/>
      <c r="F291" s="6">
        <f>IF(A291="","",SUMIFS(Depenses!$E:$E,Depenses!$B:$B,A291,Depenses!$F:$F,B291))</f>
        <v/>
      </c>
      <c r="G291" s="6">
        <f>IF(A291="","",SUMIFS(Depenses!$E:$E,Depenses!$B:$B,A291))</f>
        <v/>
      </c>
      <c r="H291">
        <f>IF(A291="","",COUNTIFS($A:$A,A291,$D:$D,1))</f>
        <v/>
      </c>
      <c r="I291" s="6">
        <f>IF(A291="","",IF(AND(D291=1,H291&gt;0),G291/H291,0))</f>
        <v/>
      </c>
      <c r="J291" s="6">
        <f>IF(A291="","",C291+F291-I291)</f>
        <v/>
      </c>
      <c r="K291" s="9" t="n"/>
    </row>
    <row r="292">
      <c r="C292" s="6" t="n"/>
      <c r="F292" s="6">
        <f>IF(A292="","",SUMIFS(Depenses!$E:$E,Depenses!$B:$B,A292,Depenses!$F:$F,B292))</f>
        <v/>
      </c>
      <c r="G292" s="6">
        <f>IF(A292="","",SUMIFS(Depenses!$E:$E,Depenses!$B:$B,A292))</f>
        <v/>
      </c>
      <c r="H292">
        <f>IF(A292="","",COUNTIFS($A:$A,A292,$D:$D,1))</f>
        <v/>
      </c>
      <c r="I292" s="6">
        <f>IF(A292="","",IF(AND(D292=1,H292&gt;0),G292/H292,0))</f>
        <v/>
      </c>
      <c r="J292" s="6">
        <f>IF(A292="","",C292+F292-I292)</f>
        <v/>
      </c>
      <c r="K292" s="9" t="n"/>
    </row>
    <row r="293">
      <c r="C293" s="6" t="n"/>
      <c r="F293" s="6">
        <f>IF(A293="","",SUMIFS(Depenses!$E:$E,Depenses!$B:$B,A293,Depenses!$F:$F,B293))</f>
        <v/>
      </c>
      <c r="G293" s="6">
        <f>IF(A293="","",SUMIFS(Depenses!$E:$E,Depenses!$B:$B,A293))</f>
        <v/>
      </c>
      <c r="H293">
        <f>IF(A293="","",COUNTIFS($A:$A,A293,$D:$D,1))</f>
        <v/>
      </c>
      <c r="I293" s="6">
        <f>IF(A293="","",IF(AND(D293=1,H293&gt;0),G293/H293,0))</f>
        <v/>
      </c>
      <c r="J293" s="6">
        <f>IF(A293="","",C293+F293-I293)</f>
        <v/>
      </c>
      <c r="K293" s="9" t="n"/>
    </row>
    <row r="294">
      <c r="C294" s="6" t="n"/>
      <c r="F294" s="6">
        <f>IF(A294="","",SUMIFS(Depenses!$E:$E,Depenses!$B:$B,A294,Depenses!$F:$F,B294))</f>
        <v/>
      </c>
      <c r="G294" s="6">
        <f>IF(A294="","",SUMIFS(Depenses!$E:$E,Depenses!$B:$B,A294))</f>
        <v/>
      </c>
      <c r="H294">
        <f>IF(A294="","",COUNTIFS($A:$A,A294,$D:$D,1))</f>
        <v/>
      </c>
      <c r="I294" s="6">
        <f>IF(A294="","",IF(AND(D294=1,H294&gt;0),G294/H294,0))</f>
        <v/>
      </c>
      <c r="J294" s="6">
        <f>IF(A294="","",C294+F294-I294)</f>
        <v/>
      </c>
      <c r="K294" s="9" t="n"/>
    </row>
    <row r="295">
      <c r="C295" s="6" t="n"/>
      <c r="F295" s="6">
        <f>IF(A295="","",SUMIFS(Depenses!$E:$E,Depenses!$B:$B,A295,Depenses!$F:$F,B295))</f>
        <v/>
      </c>
      <c r="G295" s="6">
        <f>IF(A295="","",SUMIFS(Depenses!$E:$E,Depenses!$B:$B,A295))</f>
        <v/>
      </c>
      <c r="H295">
        <f>IF(A295="","",COUNTIFS($A:$A,A295,$D:$D,1))</f>
        <v/>
      </c>
      <c r="I295" s="6">
        <f>IF(A295="","",IF(AND(D295=1,H295&gt;0),G295/H295,0))</f>
        <v/>
      </c>
      <c r="J295" s="6">
        <f>IF(A295="","",C295+F295-I295)</f>
        <v/>
      </c>
      <c r="K295" s="9" t="n"/>
    </row>
    <row r="296">
      <c r="C296" s="6" t="n"/>
      <c r="F296" s="6">
        <f>IF(A296="","",SUMIFS(Depenses!$E:$E,Depenses!$B:$B,A296,Depenses!$F:$F,B296))</f>
        <v/>
      </c>
      <c r="G296" s="6">
        <f>IF(A296="","",SUMIFS(Depenses!$E:$E,Depenses!$B:$B,A296))</f>
        <v/>
      </c>
      <c r="H296">
        <f>IF(A296="","",COUNTIFS($A:$A,A296,$D:$D,1))</f>
        <v/>
      </c>
      <c r="I296" s="6">
        <f>IF(A296="","",IF(AND(D296=1,H296&gt;0),G296/H296,0))</f>
        <v/>
      </c>
      <c r="J296" s="6">
        <f>IF(A296="","",C296+F296-I296)</f>
        <v/>
      </c>
      <c r="K296" s="9" t="n"/>
    </row>
    <row r="297">
      <c r="C297" s="6" t="n"/>
      <c r="F297" s="6">
        <f>IF(A297="","",SUMIFS(Depenses!$E:$E,Depenses!$B:$B,A297,Depenses!$F:$F,B297))</f>
        <v/>
      </c>
      <c r="G297" s="6">
        <f>IF(A297="","",SUMIFS(Depenses!$E:$E,Depenses!$B:$B,A297))</f>
        <v/>
      </c>
      <c r="H297">
        <f>IF(A297="","",COUNTIFS($A:$A,A297,$D:$D,1))</f>
        <v/>
      </c>
      <c r="I297" s="6">
        <f>IF(A297="","",IF(AND(D297=1,H297&gt;0),G297/H297,0))</f>
        <v/>
      </c>
      <c r="J297" s="6">
        <f>IF(A297="","",C297+F297-I297)</f>
        <v/>
      </c>
      <c r="K297" s="9" t="n"/>
    </row>
    <row r="298">
      <c r="C298" s="6" t="n"/>
      <c r="F298" s="6">
        <f>IF(A298="","",SUMIFS(Depenses!$E:$E,Depenses!$B:$B,A298,Depenses!$F:$F,B298))</f>
        <v/>
      </c>
      <c r="G298" s="6">
        <f>IF(A298="","",SUMIFS(Depenses!$E:$E,Depenses!$B:$B,A298))</f>
        <v/>
      </c>
      <c r="H298">
        <f>IF(A298="","",COUNTIFS($A:$A,A298,$D:$D,1))</f>
        <v/>
      </c>
      <c r="I298" s="6">
        <f>IF(A298="","",IF(AND(D298=1,H298&gt;0),G298/H298,0))</f>
        <v/>
      </c>
      <c r="J298" s="6">
        <f>IF(A298="","",C298+F298-I298)</f>
        <v/>
      </c>
      <c r="K298" s="9" t="n"/>
    </row>
    <row r="299">
      <c r="C299" s="6" t="n"/>
      <c r="F299" s="6">
        <f>IF(A299="","",SUMIFS(Depenses!$E:$E,Depenses!$B:$B,A299,Depenses!$F:$F,B299))</f>
        <v/>
      </c>
      <c r="G299" s="6">
        <f>IF(A299="","",SUMIFS(Depenses!$E:$E,Depenses!$B:$B,A299))</f>
        <v/>
      </c>
      <c r="H299">
        <f>IF(A299="","",COUNTIFS($A:$A,A299,$D:$D,1))</f>
        <v/>
      </c>
      <c r="I299" s="6">
        <f>IF(A299="","",IF(AND(D299=1,H299&gt;0),G299/H299,0))</f>
        <v/>
      </c>
      <c r="J299" s="6">
        <f>IF(A299="","",C299+F299-I299)</f>
        <v/>
      </c>
      <c r="K299" s="9" t="n"/>
    </row>
    <row r="300">
      <c r="C300" s="6" t="n"/>
      <c r="F300" s="6">
        <f>IF(A300="","",SUMIFS(Depenses!$E:$E,Depenses!$B:$B,A300,Depenses!$F:$F,B300))</f>
        <v/>
      </c>
      <c r="G300" s="6">
        <f>IF(A300="","",SUMIFS(Depenses!$E:$E,Depenses!$B:$B,A300))</f>
        <v/>
      </c>
      <c r="H300">
        <f>IF(A300="","",COUNTIFS($A:$A,A300,$D:$D,1))</f>
        <v/>
      </c>
      <c r="I300" s="6">
        <f>IF(A300="","",IF(AND(D300=1,H300&gt;0),G300/H300,0))</f>
        <v/>
      </c>
      <c r="J300" s="6">
        <f>IF(A300="","",C300+F300-I300)</f>
        <v/>
      </c>
      <c r="K300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0" customWidth="1" min="3" max="3"/>
  </cols>
  <sheetData>
    <row r="1" ht="30" customHeight="1">
      <c r="A1" s="2" t="inlineStr">
        <is>
          <t>date</t>
        </is>
      </c>
      <c r="B1" s="2" t="inlineStr">
        <is>
          <t>action</t>
        </is>
      </c>
      <c r="C1" s="2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2026-10-19T20:35:58Z</dcterms:created>
  <dcterms:modified xmlns:dcterms="http://purl.org/dc/terms/" xmlns:xsi="http://www.w3.org/2001/XMLSchema-instance" xsi:type="dcterms:W3CDTF">2026-10-20T08:55:55Z</dcterms:modified>
</cp:coreProperties>
</file>